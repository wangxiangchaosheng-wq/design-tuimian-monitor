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b8d05f53034da5" /></Relationships>
</file>

<file path=xl/workbook.xml><?xml version="1.0" encoding="utf-8"?>
<x:workbook xmlns:x="http://schemas.openxmlformats.org/spreadsheetml/2006/main">
  <x:sheets>
    <x:sheet xmlns:r="http://schemas.openxmlformats.org/officeDocument/2006/relationships" name="985院校" sheetId="1" r:id="R3db4e2aca14c4ff5"/>
    <x:sheet xmlns:r="http://schemas.openxmlformats.org/officeDocument/2006/relationships" name="211院校" sheetId="2" r:id="R7a83d71de1a14d22"/>
    <x:sheet xmlns:r="http://schemas.openxmlformats.org/officeDocument/2006/relationships" name="爬虫数据源" sheetId="3" r:id="Rf5dacb6241f246ea"/>
    <x:sheet xmlns:r="http://schemas.openxmlformats.org/officeDocument/2006/relationships" name="使用说明" sheetId="4" r:id="R2ea7f13934894d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9">
    <x:font>
      <x:sz val="11"/>
      <x:name val="Carlito"/>
    </x:font>
    <x:font>
      <x:b/>
      <x:sz val="11"/>
      <x:color rgb="FF2F2C31"/>
      <x:name val="Microsoft YaHei"/>
    </x:font>
    <x:font>
      <x:sz val="11"/>
      <x:color rgb="FF746E76"/>
      <x:name val="Microsoft YaHei"/>
    </x:font>
    <x:font>
      <x:sz val="11"/>
      <x:color rgb="FF2F2C31"/>
      <x:name val="Microsoft YaHei"/>
    </x:font>
    <x:font>
      <x:b/>
      <x:sz val="11"/>
      <x:color rgb="FFB85C78"/>
      <x:name val="Microsoft YaHei"/>
    </x:font>
    <x:font>
      <x:sz val="11"/>
      <x:color rgb="FF75639A"/>
      <x:name val="Microsoft YaHei"/>
    </x:font>
    <x:font>
      <x:b/>
      <x:sz val="11"/>
      <x:color rgb="FFC62828"/>
      <x:name val="Microsoft YaHei"/>
    </x:font>
    <x:font>
      <x:sz val="11"/>
      <x:name val="Microsoft YaHei"/>
    </x:font>
    <x:font>
      <x:b/>
      <x:sz val="11"/>
      <x:color rgb="FF75639A"/>
      <x:name val="Microsoft YaHei"/>
    </x:font>
  </x:fonts>
  <x:fills count="8">
    <x:fill>
      <x:patternFill patternType="none"/>
    </x:fill>
    <x:fill>
      <x:patternFill patternType="gray125"/>
    </x:fill>
    <x:fill>
      <x:patternFill patternType="solid">
        <x:fgColor rgb="FFF5E7ED"/>
      </x:patternFill>
    </x:fill>
    <x:fill>
      <x:patternFill patternType="solid">
        <x:fgColor rgb="FFFFFFFF"/>
      </x:patternFill>
    </x:fill>
    <x:fill>
      <x:patternFill patternType="solid">
        <x:fgColor rgb="FFFBF6F8"/>
      </x:patternFill>
    </x:fill>
    <x:fill>
      <x:patternFill patternType="solid">
        <x:fgColor rgb="FFFDECEC"/>
      </x:patternFill>
    </x:fill>
    <x:fill>
      <x:patternFill patternType="solid">
        <x:fgColor rgb="FFEEE9F6"/>
      </x:patternFill>
    </x:fill>
    <x:fill>
      <x:patternFill patternType="solid">
        <x:fgColor rgb="FFF8F6FB"/>
      </x:patternFill>
    </x:fill>
  </x:fills>
  <x:borders count="54">
    <x:border/>
    <x:border/>
    <x:border>
      <x:bottom style="medium">
        <x:color rgb="FFB85C78"/>
      </x:bottom>
    </x:border>
    <x:border>
      <x:bottom style="medium">
        <x:color rgb="FFB85C78"/>
      </x:bottom>
    </x:border>
    <x:border>
      <x:left style="thin">
        <x:color rgb="FFD8D3DA"/>
      </x:left>
      <x:top style="thin">
        <x:color rgb="FFD8D3DA"/>
      </x:top>
      <x:bottom style="thin">
        <x:color rgb="FFD8D3DA"/>
      </x:bottom>
    </x:border>
    <x:border>
      <x:top style="thin">
        <x:color rgb="FFD8D3DA"/>
      </x:top>
      <x:bottom style="thin">
        <x:color rgb="FFD8D3DA"/>
      </x:bottom>
    </x:border>
    <x:border>
      <x:right style="thin">
        <x:color rgb="FFD8D3DA"/>
      </x:right>
      <x:top style="thin">
        <x:color rgb="FFD8D3DA"/>
      </x:top>
      <x:bottom style="thin">
        <x:color rgb="FFD8D3DA"/>
      </x:bottom>
    </x:border>
    <x:border>
      <x:left style="thin">
        <x:color rgb="FFD8D3DA"/>
      </x:left>
      <x:top style="thin">
        <x:color rgb="FFD8D3DA"/>
      </x:top>
      <x:bottom style="thin">
        <x:color rgb="FFD8D3DA"/>
      </x:bottom>
    </x:border>
    <x:border>
      <x:top style="thin">
        <x:color rgb="FFD8D3DA"/>
      </x:top>
      <x:bottom style="thin">
        <x:color rgb="FFD8D3DA"/>
      </x:bottom>
    </x:border>
    <x:border>
      <x:right style="thin">
        <x:color rgb="FFD8D3DA"/>
      </x:right>
      <x:top style="thin">
        <x:color rgb="FFD8D3DA"/>
      </x:top>
      <x:bottom style="thin">
        <x:color rgb="FFD8D3DA"/>
      </x:bottom>
    </x:border>
    <x:border>
      <x:left style="thin">
        <x:color rgb="FFD8D3DA"/>
      </x:left>
      <x:top style="thin">
        <x:color rgb="FFD8D3DA"/>
      </x:top>
    </x:border>
    <x:border>
      <x:top style="thin">
        <x:color rgb="FFD8D3DA"/>
      </x:top>
    </x:border>
    <x:border>
      <x:right style="thin">
        <x:color rgb="FFD8D3DA"/>
      </x:right>
      <x:top style="thin">
        <x:color rgb="FFD8D3DA"/>
      </x:top>
    </x:border>
    <x:border>
      <x:left style="thin">
        <x:color rgb="FFD8D3DA"/>
      </x:left>
    </x:border>
    <x:border>
      <x:right style="thin">
        <x:color rgb="FFD8D3DA"/>
      </x:right>
    </x:border>
    <x:border>
      <x:left style="thin">
        <x:color rgb="FFD8D3DA"/>
      </x:left>
      <x:bottom style="thin">
        <x:color rgb="FFD8D3DA"/>
      </x:bottom>
    </x:border>
    <x:border>
      <x:bottom style="thin">
        <x:color rgb="FFD8D3DA"/>
      </x:bottom>
    </x:border>
    <x:border>
      <x:right style="thin">
        <x:color rgb="FFD8D3DA"/>
      </x:right>
      <x:bottom style="thin">
        <x:color rgb="FFD8D3DA"/>
      </x:bottom>
    </x:border>
    <x:border>
      <x:left style="thin">
        <x:color rgb="FFD8D3DA"/>
      </x:left>
      <x:top style="thin">
        <x:color rgb="FFD8D3DA"/>
      </x:top>
    </x:border>
    <x:border>
      <x:top style="thin">
        <x:color rgb="FFD8D3DA"/>
      </x:top>
    </x:border>
    <x:border>
      <x:right style="thin">
        <x:color rgb="FFD8D3DA"/>
      </x:right>
      <x:top style="thin">
        <x:color rgb="FFD8D3DA"/>
      </x:top>
    </x:border>
    <x:border>
      <x:left style="thin">
        <x:color rgb="FFD8D3DA"/>
      </x:left>
    </x:border>
    <x:border>
      <x:right style="thin">
        <x:color rgb="FFD8D3DA"/>
      </x:right>
    </x:border>
    <x:border>
      <x:left style="thin">
        <x:color rgb="FFD8D3DA"/>
      </x:left>
      <x:bottom style="thin">
        <x:color rgb="FFD8D3DA"/>
      </x:bottom>
    </x:border>
    <x:border>
      <x:bottom style="thin">
        <x:color rgb="FFD8D3DA"/>
      </x:bottom>
    </x:border>
    <x:border>
      <x:right style="thin">
        <x:color rgb="FFD8D3DA"/>
      </x:right>
      <x:bottom style="thin">
        <x:color rgb="FFD8D3DA"/>
      </x:bottom>
    </x:border>
    <x:border>
      <x:left style="thin">
        <x:color rgb="FFD8D3DA"/>
      </x:left>
      <x:right style="thin">
        <x:color rgb="FFD8D3DA"/>
      </x:right>
      <x:top style="thin">
        <x:color rgb="FFD8D3DA"/>
      </x:top>
    </x:border>
    <x:border>
      <x:left style="thin">
        <x:color rgb="FFD8D3DA"/>
      </x:left>
      <x:right style="thin">
        <x:color rgb="FFD8D3DA"/>
      </x:right>
    </x:border>
    <x:border>
      <x:left style="thin">
        <x:color rgb="FFD8D3DA"/>
      </x:left>
      <x:right style="thin">
        <x:color rgb="FFD8D3DA"/>
      </x:right>
      <x:bottom style="thin">
        <x:color rgb="FFD8D3DA"/>
      </x:bottom>
    </x:border>
    <x:border>
      <x:left style="thin">
        <x:color rgb="FFD8D3DA"/>
      </x:left>
      <x:right style="thin">
        <x:color rgb="FFD8D3DA"/>
      </x:right>
      <x:top style="thin">
        <x:color rgb="FFD8D3DA"/>
      </x:top>
    </x:border>
    <x:border>
      <x:left style="thin">
        <x:color rgb="FFD8D3DA"/>
      </x:left>
      <x:right style="thin">
        <x:color rgb="FFD8D3DA"/>
      </x:right>
    </x:border>
    <x:border>
      <x:left style="thin">
        <x:color rgb="FFD8D3DA"/>
      </x:left>
      <x:right style="thin">
        <x:color rgb="FFD8D3DA"/>
      </x:right>
      <x:bottom style="thin">
        <x:color rgb="FFD8D3DA"/>
      </x:bottom>
    </x:border>
    <x:border>
      <x:left style="thin">
        <x:color rgb="FFD8D3DA"/>
      </x:left>
      <x:top style="medium">
        <x:color rgb="FF8C838E"/>
      </x:top>
      <x:bottom style="thin">
        <x:color rgb="FFD8D3DA"/>
      </x:bottom>
    </x:border>
    <x:border>
      <x:top style="medium">
        <x:color rgb="FF8C838E"/>
      </x:top>
      <x:bottom style="thin">
        <x:color rgb="FFD8D3DA"/>
      </x:bottom>
    </x:border>
    <x:border>
      <x:right style="thin">
        <x:color rgb="FFD8D3DA"/>
      </x:right>
      <x:top style="medium">
        <x:color rgb="FF8C838E"/>
      </x:top>
      <x:bottom style="thin">
        <x:color rgb="FFD8D3DA"/>
      </x:bottom>
    </x:border>
    <x:border>
      <x:left style="thin">
        <x:color rgb="FFD8D3DA"/>
      </x:left>
      <x:right style="thin">
        <x:color rgb="FFD8D3DA"/>
      </x:right>
      <x:top style="medium">
        <x:color rgb="FF8C838E"/>
      </x:top>
      <x:bottom style="thin">
        <x:color rgb="FFD8D3DA"/>
      </x:bottom>
    </x:border>
    <x:border>
      <x:left style="thin">
        <x:color rgb="FFD8D3DA"/>
      </x:left>
      <x:top style="medium">
        <x:color rgb="FF8C838E"/>
      </x:top>
      <x:bottom style="thin">
        <x:color rgb="FFD8D3DA"/>
      </x:bottom>
    </x:border>
    <x:border>
      <x:top style="medium">
        <x:color rgb="FF8C838E"/>
      </x:top>
      <x:bottom style="thin">
        <x:color rgb="FFD8D3DA"/>
      </x:bottom>
    </x:border>
    <x:border>
      <x:right style="thin">
        <x:color rgb="FFD8D3DA"/>
      </x:right>
      <x:top style="medium">
        <x:color rgb="FF8C838E"/>
      </x:top>
      <x:bottom style="thin">
        <x:color rgb="FFD8D3DA"/>
      </x:bottom>
    </x:border>
    <x:border>
      <x:left style="thin">
        <x:color rgb="FFD8D3DA"/>
      </x:left>
      <x:right style="thin">
        <x:color rgb="FFD8D3DA"/>
      </x:right>
      <x:top style="medium">
        <x:color rgb="FF8C838E"/>
      </x:top>
      <x:bottom style="thin">
        <x:color rgb="FFD8D3DA"/>
      </x:bottom>
    </x:border>
    <x:border>
      <x:left style="thin">
        <x:color rgb="FFD8D3DA"/>
      </x:left>
      <x:top style="thin">
        <x:color rgb="FFD8D3DA"/>
      </x:top>
      <x:bottom style="medium">
        <x:color rgb="FF8C838E"/>
      </x:bottom>
    </x:border>
    <x:border>
      <x:top style="thin">
        <x:color rgb="FFD8D3DA"/>
      </x:top>
      <x:bottom style="medium">
        <x:color rgb="FF8C838E"/>
      </x:bottom>
    </x:border>
    <x:border>
      <x:right style="thin">
        <x:color rgb="FFD8D3DA"/>
      </x:right>
      <x:top style="thin">
        <x:color rgb="FFD8D3DA"/>
      </x:top>
      <x:bottom style="medium">
        <x:color rgb="FF8C838E"/>
      </x:bottom>
    </x:border>
    <x:border>
      <x:left style="thin">
        <x:color rgb="FFD8D3DA"/>
      </x:left>
      <x:right style="thin">
        <x:color rgb="FFD8D3DA"/>
      </x:right>
      <x:top style="thin">
        <x:color rgb="FFD8D3DA"/>
      </x:top>
      <x:bottom style="medium">
        <x:color rgb="FF8C838E"/>
      </x:bottom>
    </x:border>
    <x:border>
      <x:left style="thin">
        <x:color rgb="FFD8D3DA"/>
      </x:left>
      <x:top style="thin">
        <x:color rgb="FFD8D3DA"/>
      </x:top>
      <x:bottom style="medium">
        <x:color rgb="FF8C838E"/>
      </x:bottom>
    </x:border>
    <x:border>
      <x:top style="thin">
        <x:color rgb="FFD8D3DA"/>
      </x:top>
      <x:bottom style="medium">
        <x:color rgb="FF8C838E"/>
      </x:bottom>
    </x:border>
    <x:border>
      <x:right style="thin">
        <x:color rgb="FFD8D3DA"/>
      </x:right>
      <x:top style="thin">
        <x:color rgb="FFD8D3DA"/>
      </x:top>
      <x:bottom style="medium">
        <x:color rgb="FF8C838E"/>
      </x:bottom>
    </x:border>
    <x:border>
      <x:left style="thin">
        <x:color rgb="FFD8D3DA"/>
      </x:left>
      <x:right style="thin">
        <x:color rgb="FFD8D3DA"/>
      </x:right>
      <x:top style="thin">
        <x:color rgb="FFD8D3DA"/>
      </x:top>
      <x:bottom style="medium">
        <x:color rgb="FF8C838E"/>
      </x:bottom>
    </x:border>
    <x:border>
      <x:top style="medium">
        <x:color rgb="FFC62828"/>
      </x:top>
    </x:border>
    <x:border>
      <x:top style="medium">
        <x:color rgb="FFC62828"/>
      </x:top>
    </x:border>
    <x:border>
      <x:bottom style="medium">
        <x:color rgb="FF75639A"/>
      </x:bottom>
    </x:border>
    <x:border>
      <x:bottom style="medium">
        <x:color rgb="FF75639A"/>
      </x:bottom>
    </x:border>
    <x:border>
      <x:left style="thin">
        <x:color rgb="FFD8D3DA"/>
      </x:left>
      <x:right style="thin">
        <x:color rgb="FFD8D3DA"/>
      </x:right>
      <x:top style="thin">
        <x:color rgb="FFD8D3DA"/>
      </x:top>
      <x:bottom style="thin">
        <x:color rgb="FFD8D3DA"/>
      </x:bottom>
    </x:border>
    <x:border>
      <x:left style="thin">
        <x:color rgb="FFD8D3DA"/>
      </x:left>
      <x:right style="thin">
        <x:color rgb="FFD8D3DA"/>
      </x:right>
      <x:top style="thin">
        <x:color rgb="FFD8D3DA"/>
      </x:top>
      <x:bottom style="thin">
        <x:color rgb="FFD8D3DA"/>
      </x:bottom>
    </x:border>
  </x:borders>
  <x:cellStyleXfs count="1">
    <x:xf numFmtId="0" fontId="0" fillId="0" borderId="0"/>
  </x:cellStyleXfs>
  <x:cellXfs count="4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4" xfId="0" applyNumberFormat="1" applyFont="1" applyFill="1" applyBorder="1" applyAlignment="1">
      <x:alignment horizontal="center" vertic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3" fillId="4" borderId="7" xfId="0" applyNumberFormat="1" applyFont="1" applyFill="1" applyBorder="1" applyAlignment="1">
      <x:alignment horizontal="center"/>
    </x:xf>
    <x:xf numFmtId="0" fontId="3" fillId="4" borderId="8" xfId="0" applyNumberFormat="1" applyFont="1" applyFill="1" applyBorder="1" applyAlignment="1">
      <x:alignment horizontal="center"/>
    </x:xf>
    <x:xf numFmtId="0" fontId="3" fillId="4" borderId="9" xfId="0" applyNumberFormat="1" applyFont="1" applyFill="1" applyBorder="1" applyAlignment="1">
      <x:alignment horizontal="center"/>
    </x:xf>
    <x:xf numFmtId="0" fontId="3" fillId="4" borderId="7" xfId="0" applyNumberFormat="1" applyFont="1" applyFill="1" applyBorder="1" applyAlignment="1">
      <x:alignment horizontal="center" vertical="center"/>
    </x:xf>
    <x:xf numFmtId="0" fontId="3" fillId="4" borderId="8" xfId="0" applyNumberFormat="1" applyFont="1" applyFill="1" applyBorder="1" applyAlignment="1">
      <x:alignment horizontal="center" vertical="center"/>
    </x:xf>
    <x:xf numFmtId="0" fontId="3" fillId="4" borderId="9" xfId="0" applyNumberFormat="1" applyFont="1" applyFill="1" applyBorder="1" applyAlignment="1">
      <x:alignment horizontal="center" vertical="center"/>
    </x:xf>
    <x:xf numFmtId="0" fontId="4" fillId="4" borderId="4" xfId="0" applyNumberFormat="1" applyFont="1" applyFill="1" applyBorder="1" applyAlignment="1">
      <x:alignment horizontal="center" vertical="center"/>
    </x:xf>
    <x:xf numFmtId="0" fontId="4" fillId="4" borderId="7" xfId="0" applyNumberFormat="1" applyFont="1" applyFill="1" applyBorder="1" applyAlignment="1">
      <x:alignment horizontal="center" vertical="center"/>
    </x:xf>
    <x:xf numFmtId="0" fontId="4" fillId="4" borderId="5" xfId="0" applyNumberFormat="1" applyFont="1" applyFill="1" applyBorder="1" applyAlignment="1">
      <x:alignment horizontal="center" vertical="center"/>
    </x:xf>
    <x:xf numFmtId="0" fontId="4" fillId="4" borderId="8" xfId="0" applyNumberFormat="1" applyFont="1" applyFill="1" applyBorder="1" applyAlignment="1">
      <x:alignment horizontal="center" vertical="center"/>
    </x:xf>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4" xfId="0" applyNumberFormat="1" applyFont="1" applyFill="1" applyBorder="1" applyAlignment="1">
      <x:alignment vertical="center"/>
    </x:xf>
    <x:xf numFmtId="0" fontId="2" fillId="3" borderId="5" xfId="0" applyNumberFormat="1" applyFont="1" applyFill="1" applyBorder="1" applyAlignment="1">
      <x:alignment vertical="center"/>
    </x:xf>
    <x:xf numFmtId="0" fontId="2" fillId="3" borderId="6" xfId="0" applyNumberFormat="1" applyFont="1" applyFill="1" applyBorder="1" applyAlignment="1">
      <x:alignment vertical="center"/>
    </x:xf>
    <x:xf numFmtId="0" fontId="2" fillId="3" borderId="7"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7" xfId="0" applyNumberFormat="1" applyFont="1" applyFill="1" applyBorder="1" applyAlignment="1">
      <x:alignment vertical="center"/>
    </x:xf>
    <x:xf numFmtId="0" fontId="2" fillId="3" borderId="8" xfId="0" applyNumberFormat="1" applyFont="1" applyFill="1" applyBorder="1" applyAlignment="1">
      <x:alignment vertical="center"/>
    </x:xf>
    <x:xf numFmtId="0" fontId="2" fillId="3" borderId="9" xfId="0" applyNumberFormat="1" applyFont="1" applyFill="1" applyBorder="1" applyAlignment="1">
      <x:alignment vertical="center"/>
    </x:xf>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x:xf numFmtId="0" fontId="1" fillId="2" borderId="8" xfId="0" applyNumberFormat="1" applyFont="1" applyFill="1" applyBorder="1"/>
    <x:xf numFmtId="0" fontId="1" fillId="2" borderId="9" xfId="0" applyNumberFormat="1" applyFont="1" applyFill="1" applyBorder="1"/>
    <x:xf numFmtId="0" fontId="1" fillId="2" borderId="7" xfId="0" applyNumberFormat="1" applyFont="1" applyFill="1" applyBorder="1" applyAlignment="1">
      <x:alignment wrapText="1"/>
    </x:xf>
    <x:xf numFmtId="0" fontId="1" fillId="2" borderId="8" xfId="0" applyNumberFormat="1" applyFont="1" applyFill="1" applyBorder="1" applyAlignment="1">
      <x:alignment wrapText="1"/>
    </x:xf>
    <x:xf numFmtId="0" fontId="1" fillId="2" borderId="9" xfId="0" applyNumberFormat="1" applyFont="1" applyFill="1" applyBorder="1" applyAlignment="1">
      <x:alignment wrapText="1"/>
    </x:xf>
    <x:xf numFmtId="0" fontId="1" fillId="2" borderId="7" xfId="0" applyNumberFormat="1" applyFont="1" applyFill="1" applyBorder="1" applyAlignment="1">
      <x:alignment horizontal="center" wrapText="1"/>
    </x:xf>
    <x:xf numFmtId="0" fontId="1" fillId="2" borderId="8" xfId="0" applyNumberFormat="1" applyFont="1" applyFill="1" applyBorder="1" applyAlignment="1">
      <x:alignment horizontal="center" wrapText="1"/>
    </x:xf>
    <x:xf numFmtId="0" fontId="1" fillId="2" borderId="9" xfId="0" applyNumberFormat="1" applyFont="1" applyFill="1" applyBorder="1" applyAlignment="1">
      <x:alignment horizontal="center" wrapText="1"/>
    </x:xf>
    <x:xf numFmtId="0" fontId="1" fillId="2" borderId="7" xfId="0" applyNumberFormat="1" applyFont="1" applyFill="1" applyBorder="1" applyAlignment="1">
      <x:alignment horizontal="center" vertical="center" wrapText="1"/>
    </x:xf>
    <x:xf numFmtId="0" fontId="1" fillId="2" borderId="8" xfId="0" applyNumberFormat="1" applyFont="1" applyFill="1" applyBorder="1" applyAlignment="1">
      <x:alignment horizontal="center" vertical="center" wrapText="1"/>
    </x:xf>
    <x:xf numFmtId="0" fontId="1" fillId="2" borderId="9" xfId="0" applyNumberFormat="1" applyFont="1" applyFill="1" applyBorder="1" applyAlignment="1">
      <x:alignment horizontal="center" vertical="center" wrapText="1"/>
    </x:xf>
    <x:xf numFmtId="0" fontId="3" fillId="3" borderId="0" xfId="0" applyNumberFormat="1" applyFont="1" applyFill="1" applyBorder="1"/>
    <x:xf numFmtId="0" fontId="3" fillId="3" borderId="10" xfId="0" applyNumberFormat="1" applyFont="1" applyFill="1" applyBorder="1"/>
    <x:xf numFmtId="0" fontId="3" fillId="3" borderId="11" xfId="0" applyNumberFormat="1" applyFont="1" applyFill="1" applyBorder="1"/>
    <x:xf numFmtId="0" fontId="3" fillId="3" borderId="12" xfId="0" applyNumberFormat="1" applyFont="1" applyFill="1" applyBorder="1"/>
    <x:xf numFmtId="0" fontId="3" fillId="3" borderId="13" xfId="0" applyNumberFormat="1" applyFont="1" applyFill="1" applyBorder="1"/>
    <x:xf numFmtId="0" fontId="3" fillId="3" borderId="14" xfId="0" applyNumberFormat="1" applyFont="1" applyFill="1" applyBorder="1"/>
    <x:xf numFmtId="0" fontId="3" fillId="3" borderId="15" xfId="0" applyNumberFormat="1" applyFont="1" applyFill="1" applyBorder="1"/>
    <x:xf numFmtId="0" fontId="3" fillId="3" borderId="16" xfId="0" applyNumberFormat="1" applyFont="1" applyFill="1" applyBorder="1"/>
    <x:xf numFmtId="0" fontId="3" fillId="3" borderId="17" xfId="0" applyNumberFormat="1" applyFont="1" applyFill="1" applyBorder="1"/>
    <x:xf numFmtId="0" fontId="3" fillId="3" borderId="10" xfId="0" applyNumberFormat="1" applyFont="1" applyFill="1" applyBorder="1" applyAlignment="1">
      <x:alignment wrapText="1"/>
    </x:xf>
    <x:xf numFmtId="0" fontId="3" fillId="3" borderId="11" xfId="0" applyNumberFormat="1" applyFont="1" applyFill="1" applyBorder="1" applyAlignment="1">
      <x:alignment wrapText="1"/>
    </x:xf>
    <x:xf numFmtId="0" fontId="3" fillId="3" borderId="12" xfId="0" applyNumberFormat="1" applyFont="1" applyFill="1" applyBorder="1" applyAlignment="1">
      <x:alignment wrapText="1"/>
    </x:xf>
    <x:xf numFmtId="0" fontId="3" fillId="3" borderId="13"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14" xfId="0" applyNumberFormat="1" applyFont="1" applyFill="1" applyBorder="1" applyAlignment="1">
      <x:alignment wrapText="1"/>
    </x:xf>
    <x:xf numFmtId="0" fontId="3" fillId="3" borderId="15" xfId="0" applyNumberFormat="1" applyFont="1" applyFill="1" applyBorder="1" applyAlignment="1">
      <x:alignment wrapText="1"/>
    </x:xf>
    <x:xf numFmtId="0" fontId="3" fillId="3" borderId="16" xfId="0" applyNumberFormat="1" applyFont="1" applyFill="1" applyBorder="1" applyAlignment="1">
      <x:alignment wrapText="1"/>
    </x:xf>
    <x:xf numFmtId="0" fontId="3" fillId="3" borderId="17" xfId="0" applyNumberFormat="1" applyFont="1" applyFill="1" applyBorder="1" applyAlignment="1">
      <x:alignment wrapText="1"/>
    </x:xf>
    <x:xf numFmtId="0" fontId="3" fillId="3" borderId="10" xfId="0" applyNumberFormat="1" applyFont="1" applyFill="1" applyBorder="1" applyAlignment="1">
      <x:alignment vertical="top" wrapText="1"/>
    </x:xf>
    <x:xf numFmtId="0" fontId="3" fillId="3" borderId="11" xfId="0" applyNumberFormat="1" applyFont="1" applyFill="1" applyBorder="1" applyAlignment="1">
      <x:alignment vertical="top" wrapText="1"/>
    </x:xf>
    <x:xf numFmtId="0" fontId="3"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4" xfId="0" applyNumberFormat="1" applyFont="1" applyFill="1" applyBorder="1" applyAlignment="1">
      <x:alignment vertical="top" wrapText="1"/>
    </x:xf>
    <x:xf numFmtId="0" fontId="3" fillId="3" borderId="15" xfId="0" applyNumberFormat="1" applyFont="1" applyFill="1" applyBorder="1" applyAlignment="1">
      <x:alignment vertical="top" wrapText="1"/>
    </x:xf>
    <x:xf numFmtId="0" fontId="3" fillId="3" borderId="16" xfId="0" applyNumberFormat="1" applyFont="1" applyFill="1" applyBorder="1" applyAlignment="1">
      <x:alignment vertical="top" wrapText="1"/>
    </x:xf>
    <x:xf numFmtId="0" fontId="3" fillId="3" borderId="17" xfId="0" applyNumberFormat="1" applyFont="1" applyFill="1" applyBorder="1" applyAlignment="1">
      <x:alignment vertical="top" wrapText="1"/>
    </x:xf>
    <x:xf numFmtId="0" fontId="3" fillId="3" borderId="1" xfId="0" applyNumberFormat="1" applyFont="1" applyFill="1" applyBorder="1"/>
    <x:xf numFmtId="0" fontId="3" fillId="3" borderId="18" xfId="0" applyNumberFormat="1" applyFont="1" applyFill="1" applyBorder="1"/>
    <x:xf numFmtId="0" fontId="3" fillId="3" borderId="19" xfId="0" applyNumberFormat="1" applyFont="1" applyFill="1" applyBorder="1"/>
    <x:xf numFmtId="0" fontId="3" fillId="3" borderId="20" xfId="0" applyNumberFormat="1" applyFont="1" applyFill="1" applyBorder="1"/>
    <x:xf numFmtId="0" fontId="3" fillId="3" borderId="21" xfId="0" applyNumberFormat="1" applyFont="1" applyFill="1" applyBorder="1"/>
    <x:xf numFmtId="0" fontId="3" fillId="3" borderId="22" xfId="0" applyNumberFormat="1" applyFont="1" applyFill="1" applyBorder="1"/>
    <x:xf numFmtId="0" fontId="3" fillId="3" borderId="23" xfId="0" applyNumberFormat="1" applyFont="1" applyFill="1" applyBorder="1"/>
    <x:xf numFmtId="0" fontId="3" fillId="3" borderId="24" xfId="0" applyNumberFormat="1" applyFont="1" applyFill="1" applyBorder="1"/>
    <x:xf numFmtId="0" fontId="3" fillId="3" borderId="25" xfId="0" applyNumberFormat="1" applyFont="1" applyFill="1" applyBorder="1"/>
    <x:xf numFmtId="0" fontId="3" fillId="3" borderId="18" xfId="0" applyNumberFormat="1" applyFont="1" applyFill="1" applyBorder="1" applyAlignment="1">
      <x:alignment wrapText="1"/>
    </x:xf>
    <x:xf numFmtId="0" fontId="3" fillId="3" borderId="19" xfId="0" applyNumberFormat="1" applyFont="1" applyFill="1" applyBorder="1" applyAlignment="1">
      <x:alignment wrapText="1"/>
    </x:xf>
    <x:xf numFmtId="0" fontId="3" fillId="3" borderId="20" xfId="0" applyNumberFormat="1" applyFont="1" applyFill="1" applyBorder="1" applyAlignment="1">
      <x:alignment wrapText="1"/>
    </x:xf>
    <x:xf numFmtId="0" fontId="3" fillId="3" borderId="21"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22" xfId="0" applyNumberFormat="1" applyFont="1" applyFill="1" applyBorder="1" applyAlignment="1">
      <x:alignment wrapText="1"/>
    </x:xf>
    <x:xf numFmtId="0" fontId="3" fillId="3" borderId="23" xfId="0" applyNumberFormat="1" applyFont="1" applyFill="1" applyBorder="1" applyAlignment="1">
      <x:alignment wrapText="1"/>
    </x:xf>
    <x:xf numFmtId="0" fontId="3" fillId="3" borderId="24" xfId="0" applyNumberFormat="1" applyFont="1" applyFill="1" applyBorder="1" applyAlignment="1">
      <x:alignment wrapText="1"/>
    </x:xf>
    <x:xf numFmtId="0" fontId="3" fillId="3" borderId="25" xfId="0" applyNumberFormat="1" applyFont="1" applyFill="1" applyBorder="1" applyAlignment="1">
      <x:alignment wrapText="1"/>
    </x:xf>
    <x:xf numFmtId="0" fontId="3" fillId="3" borderId="18" xfId="0" applyNumberFormat="1" applyFont="1" applyFill="1" applyBorder="1" applyAlignment="1">
      <x:alignment vertical="top" wrapText="1"/>
    </x:xf>
    <x:xf numFmtId="0" fontId="3" fillId="3" borderId="19" xfId="0" applyNumberFormat="1" applyFont="1" applyFill="1" applyBorder="1" applyAlignment="1">
      <x:alignment vertical="top" wrapText="1"/>
    </x:xf>
    <x:xf numFmtId="0" fontId="3" fillId="3" borderId="20" xfId="0" applyNumberFormat="1" applyFont="1" applyFill="1" applyBorder="1" applyAlignment="1">
      <x:alignment vertical="top" wrapText="1"/>
    </x:xf>
    <x:xf numFmtId="0" fontId="3" fillId="3" borderId="2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22" xfId="0" applyNumberFormat="1" applyFont="1" applyFill="1" applyBorder="1" applyAlignment="1">
      <x:alignment vertical="top" wrapText="1"/>
    </x:xf>
    <x:xf numFmtId="0" fontId="3" fillId="3" borderId="23" xfId="0" applyNumberFormat="1" applyFont="1" applyFill="1" applyBorder="1" applyAlignment="1">
      <x:alignment vertical="top" wrapText="1"/>
    </x:xf>
    <x:xf numFmtId="0" fontId="3" fillId="3" borderId="24" xfId="0" applyNumberFormat="1" applyFont="1" applyFill="1" applyBorder="1" applyAlignment="1">
      <x:alignment vertical="top" wrapText="1"/>
    </x:xf>
    <x:xf numFmtId="0" fontId="3" fillId="3" borderId="25"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6"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13" xfId="0" applyNumberFormat="1" applyFont="1" applyFill="1" applyBorder="1" applyAlignment="1">
      <x:alignment vertical="top" wrapText="1"/>
    </x:xf>
    <x:xf numFmtId="0" fontId="5" fillId="3" borderId="14" xfId="0" applyNumberFormat="1" applyFont="1" applyFill="1" applyBorder="1" applyAlignment="1">
      <x:alignment vertical="top" wrapText="1"/>
    </x:xf>
    <x:xf numFmtId="0" fontId="5" fillId="3" borderId="15" xfId="0" applyNumberFormat="1" applyFont="1" applyFill="1" applyBorder="1" applyAlignment="1">
      <x:alignment vertical="top" wrapText="1"/>
    </x:xf>
    <x:xf numFmtId="0" fontId="5" fillId="3" borderId="17" xfId="0" applyNumberFormat="1" applyFont="1" applyFill="1" applyBorder="1" applyAlignment="1">
      <x:alignment vertical="top" wrapText="1"/>
    </x:xf>
    <x:xf numFmtId="0" fontId="5" fillId="3" borderId="10" xfId="0" applyNumberFormat="1" applyFont="1" applyFill="1" applyBorder="1" applyAlignment="1">
      <x:alignment horizontal="center" vertical="top" wrapText="1"/>
    </x:xf>
    <x:xf numFmtId="0" fontId="5" fillId="3" borderId="12" xfId="0" applyNumberFormat="1" applyFont="1" applyFill="1" applyBorder="1" applyAlignment="1">
      <x:alignment horizontal="center" vertical="top" wrapText="1"/>
    </x:xf>
    <x:xf numFmtId="0" fontId="5" fillId="3" borderId="13"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15" xfId="0" applyNumberFormat="1" applyFont="1" applyFill="1" applyBorder="1" applyAlignment="1">
      <x:alignment horizontal="center" vertical="top" wrapText="1"/>
    </x:xf>
    <x:xf numFmtId="0" fontId="5" fillId="3" borderId="17" xfId="0" applyNumberFormat="1" applyFont="1" applyFill="1" applyBorder="1" applyAlignment="1">
      <x:alignment horizontal="center" vertical="top" wrapText="1"/>
    </x:xf>
    <x:xf numFmtId="0" fontId="5" fillId="3" borderId="10" xfId="0" applyNumberFormat="1" applyFont="1" applyFill="1" applyBorder="1" applyAlignment="1">
      <x:alignment horizontal="center" vertical="center" wrapText="1"/>
    </x:xf>
    <x:xf numFmtId="0" fontId="5" fillId="3" borderId="12" xfId="0" applyNumberFormat="1" applyFont="1" applyFill="1" applyBorder="1" applyAlignment="1">
      <x:alignment horizontal="center" vertical="center" wrapText="1"/>
    </x:xf>
    <x:xf numFmtId="0" fontId="5" fillId="3" borderId="13"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15" xfId="0" applyNumberFormat="1" applyFont="1" applyFill="1" applyBorder="1" applyAlignment="1">
      <x:alignment horizontal="center" vertical="center" wrapText="1"/>
    </x:xf>
    <x:xf numFmtId="0" fontId="5" fillId="3" borderId="17" xfId="0" applyNumberFormat="1" applyFont="1" applyFill="1" applyBorder="1" applyAlignment="1">
      <x:alignment horizontal="center" vertical="center" wrapText="1"/>
    </x:xf>
    <x:xf numFmtId="0" fontId="5" fillId="3" borderId="19"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3" borderId="24" xfId="0" applyNumberFormat="1" applyFont="1" applyFill="1" applyBorder="1" applyAlignment="1">
      <x:alignment vertical="top" wrapText="1"/>
    </x:xf>
    <x:xf numFmtId="0" fontId="5" fillId="3" borderId="18" xfId="0" applyNumberFormat="1" applyFont="1" applyFill="1" applyBorder="1" applyAlignment="1">
      <x:alignment vertical="top" wrapText="1"/>
    </x:xf>
    <x:xf numFmtId="0" fontId="5" fillId="3" borderId="20" xfId="0" applyNumberFormat="1" applyFont="1" applyFill="1" applyBorder="1" applyAlignment="1">
      <x:alignment vertical="top" wrapText="1"/>
    </x:xf>
    <x:xf numFmtId="0" fontId="5" fillId="3" borderId="21" xfId="0" applyNumberFormat="1" applyFont="1" applyFill="1" applyBorder="1" applyAlignment="1">
      <x:alignment vertical="top" wrapText="1"/>
    </x:xf>
    <x:xf numFmtId="0" fontId="5" fillId="3" borderId="22" xfId="0" applyNumberFormat="1" applyFont="1" applyFill="1" applyBorder="1" applyAlignment="1">
      <x:alignment vertical="top" wrapText="1"/>
    </x:xf>
    <x:xf numFmtId="0" fontId="5" fillId="3" borderId="23" xfId="0" applyNumberFormat="1" applyFont="1" applyFill="1" applyBorder="1" applyAlignment="1">
      <x:alignment vertical="top" wrapText="1"/>
    </x:xf>
    <x:xf numFmtId="0" fontId="5" fillId="3" borderId="25" xfId="0" applyNumberFormat="1" applyFont="1" applyFill="1" applyBorder="1" applyAlignment="1">
      <x:alignment vertical="top" wrapText="1"/>
    </x:xf>
    <x:xf numFmtId="0" fontId="5" fillId="3" borderId="18" xfId="0" applyNumberFormat="1" applyFont="1" applyFill="1" applyBorder="1" applyAlignment="1">
      <x:alignment horizontal="center" vertical="top" wrapText="1"/>
    </x:xf>
    <x:xf numFmtId="0" fontId="5" fillId="3" borderId="20" xfId="0" applyNumberFormat="1" applyFont="1" applyFill="1" applyBorder="1" applyAlignment="1">
      <x:alignment horizontal="center" vertical="top" wrapText="1"/>
    </x:xf>
    <x:xf numFmtId="0" fontId="5" fillId="3" borderId="21" xfId="0" applyNumberFormat="1" applyFont="1" applyFill="1" applyBorder="1" applyAlignment="1">
      <x:alignment horizontal="center" vertical="top" wrapText="1"/>
    </x:xf>
    <x:xf numFmtId="0" fontId="5" fillId="3" borderId="22" xfId="0" applyNumberFormat="1" applyFont="1" applyFill="1" applyBorder="1" applyAlignment="1">
      <x:alignment horizontal="center" vertical="top" wrapText="1"/>
    </x:xf>
    <x:xf numFmtId="0" fontId="5" fillId="3" borderId="23" xfId="0" applyNumberFormat="1" applyFont="1" applyFill="1" applyBorder="1" applyAlignment="1">
      <x:alignment horizontal="center" vertical="top" wrapText="1"/>
    </x:xf>
    <x:xf numFmtId="0" fontId="5" fillId="3" borderId="25" xfId="0" applyNumberFormat="1" applyFont="1" applyFill="1" applyBorder="1" applyAlignment="1">
      <x:alignment horizontal="center" vertical="top" wrapText="1"/>
    </x:xf>
    <x:xf numFmtId="0" fontId="5" fillId="3" borderId="18" xfId="0" applyNumberFormat="1" applyFont="1" applyFill="1" applyBorder="1" applyAlignment="1">
      <x:alignment horizontal="center" vertical="center" wrapText="1"/>
    </x:xf>
    <x:xf numFmtId="0" fontId="5" fillId="3" borderId="20" xfId="0" applyNumberFormat="1" applyFont="1" applyFill="1" applyBorder="1" applyAlignment="1">
      <x:alignment horizontal="center" vertical="center" wrapText="1"/>
    </x:xf>
    <x:xf numFmtId="0" fontId="5" fillId="3" borderId="21" xfId="0" applyNumberFormat="1" applyFont="1" applyFill="1" applyBorder="1" applyAlignment="1">
      <x:alignment horizontal="center" vertical="center" wrapText="1"/>
    </x:xf>
    <x:xf numFmtId="0" fontId="5" fillId="3" borderId="22" xfId="0" applyNumberFormat="1" applyFont="1" applyFill="1" applyBorder="1" applyAlignment="1">
      <x:alignment horizontal="center" vertical="center" wrapText="1"/>
    </x:xf>
    <x:xf numFmtId="0" fontId="5" fillId="3" borderId="23" xfId="0" applyNumberFormat="1" applyFont="1" applyFill="1" applyBorder="1" applyAlignment="1">
      <x:alignment horizontal="center" vertical="center" wrapText="1"/>
    </x:xf>
    <x:xf numFmtId="0" fontId="5" fillId="3" borderId="25" xfId="0" applyNumberFormat="1" applyFont="1" applyFill="1" applyBorder="1" applyAlignment="1">
      <x:alignment horizontal="center" vertical="center" wrapText="1"/>
    </x:xf>
    <x:xf numFmtId="0" fontId="6" fillId="3" borderId="11"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16" xfId="0" applyNumberFormat="1" applyFont="1" applyFill="1" applyBorder="1" applyAlignment="1">
      <x:alignment vertical="top" wrapText="1"/>
    </x:xf>
    <x:xf numFmtId="0" fontId="6" fillId="3" borderId="26" xfId="0" applyNumberFormat="1" applyFont="1" applyFill="1" applyBorder="1" applyAlignment="1">
      <x:alignment vertical="top" wrapText="1"/>
    </x:xf>
    <x:xf numFmtId="0" fontId="6" fillId="3" borderId="27" xfId="0" applyNumberFormat="1" applyFont="1" applyFill="1" applyBorder="1" applyAlignment="1">
      <x:alignment vertical="top" wrapText="1"/>
    </x:xf>
    <x:xf numFmtId="0" fontId="6" fillId="3" borderId="28" xfId="0" applyNumberFormat="1" applyFont="1" applyFill="1" applyBorder="1" applyAlignment="1">
      <x:alignment vertical="top" wrapText="1"/>
    </x:xf>
    <x:xf numFmtId="0" fontId="6" fillId="3" borderId="26" xfId="0" applyNumberFormat="1" applyFont="1" applyFill="1" applyBorder="1" applyAlignment="1">
      <x:alignment horizontal="center" vertical="top" wrapText="1"/>
    </x:xf>
    <x:xf numFmtId="0" fontId="6" fillId="3" borderId="27" xfId="0" applyNumberFormat="1" applyFont="1" applyFill="1" applyBorder="1" applyAlignment="1">
      <x:alignment horizontal="center" vertical="top" wrapText="1"/>
    </x:xf>
    <x:xf numFmtId="0" fontId="6" fillId="3" borderId="28" xfId="0" applyNumberFormat="1" applyFont="1" applyFill="1" applyBorder="1" applyAlignment="1">
      <x:alignment horizontal="center" vertical="top" wrapText="1"/>
    </x:xf>
    <x:xf numFmtId="0" fontId="6" fillId="3" borderId="26" xfId="0" applyNumberFormat="1" applyFont="1" applyFill="1" applyBorder="1" applyAlignment="1">
      <x:alignment horizontal="center" vertical="center" wrapText="1"/>
    </x:xf>
    <x:xf numFmtId="0" fontId="6" fillId="3" borderId="27" xfId="0" applyNumberFormat="1" applyFont="1" applyFill="1" applyBorder="1" applyAlignment="1">
      <x:alignment horizontal="center" vertical="center" wrapText="1"/>
    </x:xf>
    <x:xf numFmtId="0" fontId="6" fillId="3" borderId="28" xfId="0" applyNumberFormat="1" applyFont="1" applyFill="1" applyBorder="1" applyAlignment="1">
      <x:alignment horizontal="center" vertical="center" wrapText="1"/>
    </x:xf>
    <x:xf numFmtId="0" fontId="6" fillId="3" borderId="19"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3" borderId="24" xfId="0" applyNumberFormat="1" applyFont="1" applyFill="1" applyBorder="1" applyAlignment="1">
      <x:alignment vertical="top" wrapText="1"/>
    </x:xf>
    <x:xf numFmtId="0" fontId="6" fillId="3" borderId="29" xfId="0" applyNumberFormat="1" applyFont="1" applyFill="1" applyBorder="1" applyAlignment="1">
      <x:alignment vertical="top" wrapText="1"/>
    </x:xf>
    <x:xf numFmtId="0" fontId="6" fillId="3" borderId="30" xfId="0" applyNumberFormat="1" applyFont="1" applyFill="1" applyBorder="1" applyAlignment="1">
      <x:alignment vertical="top" wrapText="1"/>
    </x:xf>
    <x:xf numFmtId="0" fontId="6" fillId="3" borderId="31" xfId="0" applyNumberFormat="1" applyFont="1" applyFill="1" applyBorder="1" applyAlignment="1">
      <x:alignment vertical="top" wrapText="1"/>
    </x:xf>
    <x:xf numFmtId="0" fontId="6" fillId="3" borderId="29" xfId="0" applyNumberFormat="1" applyFont="1" applyFill="1" applyBorder="1" applyAlignment="1">
      <x:alignment horizontal="center" vertical="top" wrapText="1"/>
    </x:xf>
    <x:xf numFmtId="0" fontId="6" fillId="3" borderId="30" xfId="0" applyNumberFormat="1" applyFont="1" applyFill="1" applyBorder="1" applyAlignment="1">
      <x:alignment horizontal="center" vertical="top" wrapText="1"/>
    </x:xf>
    <x:xf numFmtId="0" fontId="6" fillId="3" borderId="31" xfId="0" applyNumberFormat="1" applyFont="1" applyFill="1" applyBorder="1" applyAlignment="1">
      <x:alignment horizontal="center" vertical="top" wrapText="1"/>
    </x:xf>
    <x:xf numFmtId="0" fontId="6" fillId="3" borderId="29" xfId="0" applyNumberFormat="1" applyFont="1" applyFill="1" applyBorder="1" applyAlignment="1">
      <x:alignment horizontal="center" vertical="center" wrapText="1"/>
    </x:xf>
    <x:xf numFmtId="0" fontId="6" fillId="3" borderId="30" xfId="0" applyNumberFormat="1" applyFont="1" applyFill="1" applyBorder="1" applyAlignment="1">
      <x:alignment horizontal="center" vertical="center" wrapText="1"/>
    </x:xf>
    <x:xf numFmtId="0" fontId="6" fillId="3" borderId="31" xfId="0" applyNumberFormat="1" applyFont="1" applyFill="1" applyBorder="1" applyAlignment="1">
      <x:alignment horizontal="center" vertical="center" wrapText="1"/>
    </x:xf>
    <x:xf numFmtId="0" fontId="3" fillId="3" borderId="26" xfId="0" applyNumberFormat="1" applyFont="1" applyFill="1" applyBorder="1" applyAlignment="1">
      <x:alignment vertical="top" wrapText="1"/>
    </x:xf>
    <x:xf numFmtId="0" fontId="3" fillId="3" borderId="27" xfId="0" applyNumberFormat="1" applyFont="1" applyFill="1" applyBorder="1" applyAlignment="1">
      <x:alignment vertical="top" wrapText="1"/>
    </x:xf>
    <x:xf numFmtId="0" fontId="3" fillId="3" borderId="28" xfId="0" applyNumberFormat="1" applyFont="1" applyFill="1" applyBorder="1" applyAlignment="1">
      <x:alignment vertical="top" wrapText="1"/>
    </x:xf>
    <x:xf numFmtId="0" fontId="3" fillId="3" borderId="26" xfId="0" applyNumberFormat="1" applyFont="1" applyFill="1" applyBorder="1" applyAlignment="1">
      <x:alignment horizontal="center" vertical="top" wrapText="1"/>
    </x:xf>
    <x:xf numFmtId="0" fontId="3" fillId="3" borderId="27" xfId="0" applyNumberFormat="1" applyFont="1" applyFill="1" applyBorder="1" applyAlignment="1">
      <x:alignment horizontal="center" vertical="top" wrapText="1"/>
    </x:xf>
    <x:xf numFmtId="0" fontId="3" fillId="3" borderId="28" xfId="0" applyNumberFormat="1" applyFont="1" applyFill="1" applyBorder="1" applyAlignment="1">
      <x:alignment horizontal="center" vertical="top" wrapText="1"/>
    </x:xf>
    <x:xf numFmtId="0" fontId="3" fillId="3" borderId="26" xfId="0" applyNumberFormat="1" applyFont="1" applyFill="1" applyBorder="1" applyAlignment="1">
      <x:alignment horizontal="center" vertical="center" wrapText="1"/>
    </x:xf>
    <x:xf numFmtId="0" fontId="3" fillId="3" borderId="27" xfId="0" applyNumberFormat="1" applyFont="1" applyFill="1" applyBorder="1" applyAlignment="1">
      <x:alignment horizontal="center" vertical="center" wrapText="1"/>
    </x:xf>
    <x:xf numFmtId="0" fontId="3" fillId="3" borderId="28" xfId="0" applyNumberFormat="1" applyFont="1" applyFill="1" applyBorder="1" applyAlignment="1">
      <x:alignment horizontal="center" vertical="center" wrapText="1"/>
    </x:xf>
    <x:xf numFmtId="0" fontId="3" fillId="3" borderId="29" xfId="0" applyNumberFormat="1" applyFont="1" applyFill="1" applyBorder="1" applyAlignment="1">
      <x:alignment vertical="top" wrapText="1"/>
    </x:xf>
    <x:xf numFmtId="0" fontId="3" fillId="3" borderId="30" xfId="0" applyNumberFormat="1" applyFont="1" applyFill="1" applyBorder="1" applyAlignment="1">
      <x:alignment vertical="top" wrapText="1"/>
    </x:xf>
    <x:xf numFmtId="0" fontId="3" fillId="3" borderId="31" xfId="0" applyNumberFormat="1" applyFont="1" applyFill="1" applyBorder="1" applyAlignment="1">
      <x:alignment vertical="top" wrapText="1"/>
    </x:xf>
    <x:xf numFmtId="0" fontId="3" fillId="3" borderId="29" xfId="0" applyNumberFormat="1" applyFont="1" applyFill="1" applyBorder="1" applyAlignment="1">
      <x:alignment horizontal="center" vertical="top" wrapText="1"/>
    </x:xf>
    <x:xf numFmtId="0" fontId="3" fillId="3" borderId="30" xfId="0" applyNumberFormat="1" applyFont="1" applyFill="1" applyBorder="1" applyAlignment="1">
      <x:alignment horizontal="center" vertical="top" wrapText="1"/>
    </x:xf>
    <x:xf numFmtId="0" fontId="3" fillId="3" borderId="31" xfId="0" applyNumberFormat="1" applyFont="1" applyFill="1" applyBorder="1" applyAlignment="1">
      <x:alignment horizontal="center" vertical="top" wrapText="1"/>
    </x:xf>
    <x:xf numFmtId="0" fontId="3" fillId="3" borderId="29" xfId="0" applyNumberFormat="1" applyFont="1" applyFill="1" applyBorder="1" applyAlignment="1">
      <x:alignment horizontal="center" vertical="center" wrapText="1"/>
    </x:xf>
    <x:xf numFmtId="0" fontId="3" fillId="3" borderId="30" xfId="0" applyNumberFormat="1" applyFont="1" applyFill="1" applyBorder="1" applyAlignment="1">
      <x:alignment horizontal="center" vertical="center" wrapText="1"/>
    </x:xf>
    <x:xf numFmtId="0" fontId="3" fillId="3" borderId="31" xfId="0" applyNumberFormat="1" applyFont="1" applyFill="1" applyBorder="1" applyAlignment="1">
      <x:alignment horizontal="center" vertical="center" wrapText="1"/>
    </x:xf>
    <x:xf numFmtId="200" fontId="3" fillId="3" borderId="12" xfId="0" applyNumberFormat="1" applyFont="1" applyFill="1" applyBorder="1" applyAlignment="1">
      <x:alignment vertical="top" wrapText="1"/>
    </x:xf>
    <x:xf numFmtId="200" fontId="3" fillId="3" borderId="14" xfId="0" applyNumberFormat="1" applyFont="1" applyFill="1" applyBorder="1" applyAlignment="1">
      <x:alignment vertical="top" wrapText="1"/>
    </x:xf>
    <x:xf numFmtId="200" fontId="3" fillId="3" borderId="17" xfId="0" applyNumberFormat="1" applyFont="1" applyFill="1" applyBorder="1" applyAlignment="1">
      <x:alignment vertical="top" wrapText="1"/>
    </x:xf>
    <x:xf numFmtId="200" fontId="3" fillId="3" borderId="20" xfId="0" applyNumberFormat="1" applyFont="1" applyFill="1" applyBorder="1" applyAlignment="1">
      <x:alignment vertical="top" wrapText="1"/>
    </x:xf>
    <x:xf numFmtId="200" fontId="3" fillId="3" borderId="22" xfId="0" applyNumberFormat="1" applyFont="1" applyFill="1" applyBorder="1" applyAlignment="1">
      <x:alignment vertical="top" wrapText="1"/>
    </x:xf>
    <x:xf numFmtId="200" fontId="3" fillId="3" borderId="25"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5" fillId="4" borderId="10" xfId="0" applyNumberFormat="1" applyFont="1" applyFill="1" applyBorder="1" applyAlignment="1">
      <x:alignment horizontal="center" vertical="center" wrapText="1"/>
    </x:xf>
    <x:xf numFmtId="0" fontId="5" fillId="4" borderId="12" xfId="0" applyNumberFormat="1" applyFont="1" applyFill="1" applyBorder="1" applyAlignment="1">
      <x:alignment horizontal="center" vertical="center" wrapText="1"/>
    </x:xf>
    <x:xf numFmtId="0" fontId="6" fillId="4" borderId="26" xfId="0" applyNumberFormat="1" applyFont="1" applyFill="1" applyBorder="1" applyAlignment="1">
      <x:alignment horizontal="center" vertical="center" wrapText="1"/>
    </x:xf>
    <x:xf numFmtId="0" fontId="3" fillId="4" borderId="26" xfId="0" applyNumberFormat="1" applyFont="1" applyFill="1" applyBorder="1" applyAlignment="1">
      <x:alignment horizontal="center" vertical="center" wrapText="1"/>
    </x:xf>
    <x:xf numFmtId="200" fontId="3" fillId="4" borderId="12" xfId="0" applyNumberFormat="1" applyFont="1" applyFill="1" applyBorder="1" applyAlignment="1">
      <x:alignment vertical="top" wrapText="1"/>
    </x:xf>
    <x:xf numFmtId="0" fontId="3" fillId="4" borderId="18" xfId="0" applyNumberFormat="1" applyFont="1" applyFill="1" applyBorder="1" applyAlignment="1">
      <x:alignment vertical="top" wrapText="1"/>
    </x:xf>
    <x:xf numFmtId="0" fontId="3" fillId="4" borderId="19" xfId="0" applyNumberFormat="1" applyFont="1" applyFill="1" applyBorder="1" applyAlignment="1">
      <x:alignment vertical="top" wrapText="1"/>
    </x:xf>
    <x:xf numFmtId="0" fontId="5" fillId="4" borderId="18" xfId="0" applyNumberFormat="1" applyFont="1" applyFill="1" applyBorder="1" applyAlignment="1">
      <x:alignment horizontal="center" vertical="center" wrapText="1"/>
    </x:xf>
    <x:xf numFmtId="0" fontId="5" fillId="4" borderId="20" xfId="0" applyNumberFormat="1" applyFont="1" applyFill="1" applyBorder="1" applyAlignment="1">
      <x:alignment horizontal="center" vertical="center" wrapText="1"/>
    </x:xf>
    <x:xf numFmtId="0" fontId="6" fillId="4" borderId="29" xfId="0" applyNumberFormat="1" applyFont="1" applyFill="1" applyBorder="1" applyAlignment="1">
      <x:alignment horizontal="center" vertical="center" wrapText="1"/>
    </x:xf>
    <x:xf numFmtId="0" fontId="3" fillId="4" borderId="29" xfId="0" applyNumberFormat="1" applyFont="1" applyFill="1" applyBorder="1" applyAlignment="1">
      <x:alignment horizontal="center" vertical="center" wrapText="1"/>
    </x:xf>
    <x:xf numFmtId="200" fontId="3" fillId="4" borderId="20" xfId="0" applyNumberFormat="1" applyFont="1" applyFill="1" applyBorder="1" applyAlignment="1">
      <x:alignment vertical="top" wrapText="1"/>
    </x:xf>
    <x:xf numFmtId="0" fontId="3" fillId="4" borderId="32" xfId="0" applyNumberFormat="1" applyFont="1" applyFill="1" applyBorder="1" applyAlignment="1">
      <x:alignment vertical="top" wrapText="1"/>
    </x:xf>
    <x:xf numFmtId="0" fontId="3" fillId="4" borderId="33" xfId="0" applyNumberFormat="1" applyFont="1" applyFill="1" applyBorder="1" applyAlignment="1">
      <x:alignment vertical="top" wrapText="1"/>
    </x:xf>
    <x:xf numFmtId="0" fontId="5" fillId="3" borderId="32" xfId="0" applyNumberFormat="1" applyFont="1" applyFill="1" applyBorder="1" applyAlignment="1">
      <x:alignment horizontal="center" vertical="center" wrapText="1"/>
    </x:xf>
    <x:xf numFmtId="0" fontId="5" fillId="3" borderId="34" xfId="0" applyNumberFormat="1" applyFont="1" applyFill="1" applyBorder="1" applyAlignment="1">
      <x:alignment horizontal="center" vertical="center" wrapText="1"/>
    </x:xf>
    <x:xf numFmtId="0" fontId="3" fillId="3" borderId="33" xfId="0" applyNumberFormat="1" applyFont="1" applyFill="1" applyBorder="1" applyAlignment="1">
      <x:alignment vertical="top" wrapText="1"/>
    </x:xf>
    <x:xf numFmtId="0" fontId="6" fillId="3" borderId="35" xfId="0" applyNumberFormat="1" applyFont="1" applyFill="1" applyBorder="1" applyAlignment="1">
      <x:alignment horizontal="center" vertical="center" wrapText="1"/>
    </x:xf>
    <x:xf numFmtId="0" fontId="3" fillId="4" borderId="35" xfId="0" applyNumberFormat="1" applyFont="1" applyFill="1" applyBorder="1" applyAlignment="1">
      <x:alignment horizontal="center" vertical="center" wrapText="1"/>
    </x:xf>
    <x:xf numFmtId="200" fontId="3" fillId="4" borderId="34" xfId="0" applyNumberFormat="1" applyFont="1" applyFill="1" applyBorder="1" applyAlignment="1">
      <x:alignment vertical="top" wrapText="1"/>
    </x:xf>
    <x:xf numFmtId="0" fontId="3" fillId="4" borderId="36" xfId="0" applyNumberFormat="1" applyFont="1" applyFill="1" applyBorder="1" applyAlignment="1">
      <x:alignment vertical="top" wrapText="1"/>
    </x:xf>
    <x:xf numFmtId="0" fontId="3" fillId="4" borderId="37" xfId="0" applyNumberFormat="1" applyFont="1" applyFill="1" applyBorder="1" applyAlignment="1">
      <x:alignment vertical="top" wrapText="1"/>
    </x:xf>
    <x:xf numFmtId="0" fontId="5" fillId="3" borderId="36" xfId="0" applyNumberFormat="1" applyFont="1" applyFill="1" applyBorder="1" applyAlignment="1">
      <x:alignment horizontal="center" vertical="center" wrapText="1"/>
    </x:xf>
    <x:xf numFmtId="0" fontId="5" fillId="3" borderId="38" xfId="0" applyNumberFormat="1" applyFont="1" applyFill="1" applyBorder="1" applyAlignment="1">
      <x:alignment horizontal="center" vertical="center" wrapText="1"/>
    </x:xf>
    <x:xf numFmtId="0" fontId="3" fillId="3" borderId="37" xfId="0" applyNumberFormat="1" applyFont="1" applyFill="1" applyBorder="1" applyAlignment="1">
      <x:alignment vertical="top" wrapText="1"/>
    </x:xf>
    <x:xf numFmtId="0" fontId="6" fillId="3" borderId="39" xfId="0" applyNumberFormat="1" applyFont="1" applyFill="1" applyBorder="1" applyAlignment="1">
      <x:alignment horizontal="center" vertical="center" wrapText="1"/>
    </x:xf>
    <x:xf numFmtId="0" fontId="3" fillId="4" borderId="39" xfId="0" applyNumberFormat="1" applyFont="1" applyFill="1" applyBorder="1" applyAlignment="1">
      <x:alignment horizontal="center" vertical="center" wrapText="1"/>
    </x:xf>
    <x:xf numFmtId="200" fontId="3" fillId="4" borderId="38" xfId="0" applyNumberFormat="1" applyFont="1" applyFill="1" applyBorder="1" applyAlignment="1">
      <x:alignment vertical="top" wrapText="1"/>
    </x:xf>
    <x:xf numFmtId="0" fontId="3" fillId="4" borderId="40" xfId="0" applyNumberFormat="1" applyFont="1" applyFill="1" applyBorder="1" applyAlignment="1">
      <x:alignment vertical="top" wrapText="1"/>
    </x:xf>
    <x:xf numFmtId="0" fontId="3" fillId="4" borderId="41" xfId="0" applyNumberFormat="1" applyFont="1" applyFill="1" applyBorder="1" applyAlignment="1">
      <x:alignment vertical="top" wrapText="1"/>
    </x:xf>
    <x:xf numFmtId="0" fontId="5" fillId="3" borderId="40" xfId="0" applyNumberFormat="1" applyFont="1" applyFill="1" applyBorder="1" applyAlignment="1">
      <x:alignment horizontal="center" vertical="center" wrapText="1"/>
    </x:xf>
    <x:xf numFmtId="0" fontId="5" fillId="3" borderId="42" xfId="0" applyNumberFormat="1" applyFont="1" applyFill="1" applyBorder="1" applyAlignment="1">
      <x:alignment horizontal="center" vertical="center" wrapText="1"/>
    </x:xf>
    <x:xf numFmtId="0" fontId="3" fillId="3" borderId="41" xfId="0" applyNumberFormat="1" applyFont="1" applyFill="1" applyBorder="1" applyAlignment="1">
      <x:alignment vertical="top" wrapText="1"/>
    </x:xf>
    <x:xf numFmtId="0" fontId="6" fillId="3" borderId="43" xfId="0" applyNumberFormat="1" applyFont="1" applyFill="1" applyBorder="1" applyAlignment="1">
      <x:alignment horizontal="center" vertical="center" wrapText="1"/>
    </x:xf>
    <x:xf numFmtId="0" fontId="3" fillId="4" borderId="43" xfId="0" applyNumberFormat="1" applyFont="1" applyFill="1" applyBorder="1" applyAlignment="1">
      <x:alignment horizontal="center" vertical="center" wrapText="1"/>
    </x:xf>
    <x:xf numFmtId="200" fontId="3" fillId="4" borderId="42" xfId="0" applyNumberFormat="1" applyFont="1" applyFill="1" applyBorder="1" applyAlignment="1">
      <x:alignment vertical="top" wrapText="1"/>
    </x:xf>
    <x:xf numFmtId="0" fontId="3" fillId="4" borderId="44" xfId="0" applyNumberFormat="1" applyFont="1" applyFill="1" applyBorder="1" applyAlignment="1">
      <x:alignment vertical="top" wrapText="1"/>
    </x:xf>
    <x:xf numFmtId="0" fontId="3" fillId="4" borderId="45" xfId="0" applyNumberFormat="1" applyFont="1" applyFill="1" applyBorder="1" applyAlignment="1">
      <x:alignment vertical="top" wrapText="1"/>
    </x:xf>
    <x:xf numFmtId="0" fontId="5" fillId="3" borderId="44" xfId="0" applyNumberFormat="1" applyFont="1" applyFill="1" applyBorder="1" applyAlignment="1">
      <x:alignment horizontal="center" vertical="center" wrapText="1"/>
    </x:xf>
    <x:xf numFmtId="0" fontId="5" fillId="3" borderId="46" xfId="0" applyNumberFormat="1" applyFont="1" applyFill="1" applyBorder="1" applyAlignment="1">
      <x:alignment horizontal="center" vertical="center" wrapText="1"/>
    </x:xf>
    <x:xf numFmtId="0" fontId="3" fillId="3" borderId="45" xfId="0" applyNumberFormat="1" applyFont="1" applyFill="1" applyBorder="1" applyAlignment="1">
      <x:alignment vertical="top" wrapText="1"/>
    </x:xf>
    <x:xf numFmtId="0" fontId="6" fillId="3" borderId="47" xfId="0" applyNumberFormat="1" applyFont="1" applyFill="1" applyBorder="1" applyAlignment="1">
      <x:alignment horizontal="center" vertical="center" wrapText="1"/>
    </x:xf>
    <x:xf numFmtId="0" fontId="3" fillId="4" borderId="47" xfId="0" applyNumberFormat="1" applyFont="1" applyFill="1" applyBorder="1" applyAlignment="1">
      <x:alignment horizontal="center" vertical="center" wrapText="1"/>
    </x:xf>
    <x:xf numFmtId="200" fontId="3" fillId="4" borderId="46" xfId="0" applyNumberFormat="1" applyFont="1" applyFill="1" applyBorder="1" applyAlignment="1">
      <x:alignment vertical="top" wrapText="1"/>
    </x:xf>
    <x:xf numFmtId="0" fontId="4" fillId="4" borderId="40" xfId="0" applyNumberFormat="1" applyFont="1" applyFill="1" applyBorder="1" applyAlignment="1">
      <x:alignment vertical="top" wrapText="1"/>
    </x:xf>
    <x:xf numFmtId="0" fontId="4" fillId="4" borderId="41"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4" xfId="0" applyNumberFormat="1" applyFont="1" applyFill="1" applyBorder="1" applyAlignment="1">
      <x:alignment horizontal="center" vertical="top" wrapText="1"/>
    </x:xf>
    <x:xf numFmtId="0" fontId="4" fillId="4" borderId="6" xfId="0" applyNumberFormat="1" applyFont="1" applyFill="1" applyBorder="1" applyAlignment="1">
      <x:alignment horizontal="center" vertical="top" wrapText="1"/>
    </x:xf>
    <x:xf numFmtId="0" fontId="4" fillId="4" borderId="4" xfId="0" applyNumberFormat="1" applyFont="1" applyFill="1" applyBorder="1" applyAlignment="1">
      <x:alignment horizontal="center" vertical="center" wrapText="1"/>
    </x:xf>
    <x:xf numFmtId="0" fontId="4" fillId="4" borderId="6" xfId="0" applyNumberFormat="1" applyFont="1" applyFill="1" applyBorder="1" applyAlignment="1">
      <x:alignment horizontal="center" vertical="center" wrapText="1"/>
    </x:xf>
    <x:xf numFmtId="0" fontId="4" fillId="4" borderId="44" xfId="0" applyNumberFormat="1" applyFont="1" applyFill="1" applyBorder="1" applyAlignment="1">
      <x:alignment vertical="top" wrapText="1"/>
    </x:xf>
    <x:xf numFmtId="0" fontId="4" fillId="4" borderId="45"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4" fillId="4" borderId="9" xfId="0" applyNumberFormat="1" applyFont="1" applyFill="1" applyBorder="1" applyAlignment="1">
      <x:alignment vertical="top" wrapText="1"/>
    </x:xf>
    <x:xf numFmtId="0" fontId="4" fillId="4" borderId="7" xfId="0" applyNumberFormat="1" applyFont="1" applyFill="1" applyBorder="1" applyAlignment="1">
      <x:alignment horizontal="center" vertical="top" wrapText="1"/>
    </x:xf>
    <x:xf numFmtId="0" fontId="4" fillId="4" borderId="9" xfId="0" applyNumberFormat="1" applyFont="1" applyFill="1" applyBorder="1" applyAlignment="1">
      <x:alignment horizontal="center" vertical="top" wrapText="1"/>
    </x:xf>
    <x:xf numFmtId="0" fontId="4" fillId="4" borderId="7" xfId="0" applyNumberFormat="1" applyFont="1" applyFill="1" applyBorder="1" applyAlignment="1">
      <x:alignment horizontal="center" vertical="center" wrapText="1"/>
    </x:xf>
    <x:xf numFmtId="0" fontId="4" fillId="4" borderId="9" xfId="0" applyNumberFormat="1" applyFont="1" applyFill="1" applyBorder="1" applyAlignment="1">
      <x:alignment horizontal="center" vertical="center" wrapText="1"/>
    </x:xf>
    <x:xf numFmtId="0" fontId="4" fillId="4" borderId="32" xfId="0" applyNumberFormat="1" applyFont="1" applyFill="1" applyBorder="1" applyAlignment="1">
      <x:alignment horizontal="center" vertical="center" wrapText="1"/>
    </x:xf>
    <x:xf numFmtId="0" fontId="4" fillId="4" borderId="34" xfId="0" applyNumberFormat="1" applyFont="1" applyFill="1" applyBorder="1" applyAlignment="1">
      <x:alignment horizontal="center" vertical="center" wrapText="1"/>
    </x:xf>
    <x:xf numFmtId="0" fontId="4" fillId="4" borderId="36" xfId="0" applyNumberFormat="1" applyFont="1" applyFill="1" applyBorder="1" applyAlignment="1">
      <x:alignment horizontal="center" vertical="center" wrapText="1"/>
    </x:xf>
    <x:xf numFmtId="0" fontId="4" fillId="4" borderId="38" xfId="0" applyNumberFormat="1" applyFont="1" applyFill="1" applyBorder="1" applyAlignment="1">
      <x:alignment horizontal="center" vertical="center" wrapText="1"/>
    </x:xf>
    <x:xf numFmtId="0" fontId="4" fillId="4" borderId="40" xfId="0" applyNumberFormat="1" applyFont="1" applyFill="1" applyBorder="1" applyAlignment="1">
      <x:alignment horizontal="center" vertical="center" wrapText="1"/>
    </x:xf>
    <x:xf numFmtId="0" fontId="4" fillId="4" borderId="42" xfId="0" applyNumberFormat="1" applyFont="1" applyFill="1" applyBorder="1" applyAlignment="1">
      <x:alignment horizontal="center" vertical="center" wrapText="1"/>
    </x:xf>
    <x:xf numFmtId="0" fontId="4" fillId="4" borderId="44" xfId="0" applyNumberFormat="1" applyFont="1" applyFill="1" applyBorder="1" applyAlignment="1">
      <x:alignment horizontal="center" vertical="center" wrapText="1"/>
    </x:xf>
    <x:xf numFmtId="0" fontId="4" fillId="4" borderId="46" xfId="0" applyNumberFormat="1" applyFont="1" applyFill="1" applyBorder="1" applyAlignment="1">
      <x:alignment horizontal="center" vertical="center" wrapText="1"/>
    </x:xf>
    <x:xf numFmtId="0" fontId="3" fillId="3" borderId="32" xfId="0" applyNumberFormat="1" applyFont="1" applyFill="1" applyBorder="1" applyAlignment="1">
      <x:alignment vertical="top" wrapText="1"/>
    </x:xf>
    <x:xf numFmtId="0" fontId="3" fillId="3" borderId="35" xfId="0" applyNumberFormat="1" applyFont="1" applyFill="1" applyBorder="1" applyAlignment="1">
      <x:alignment horizontal="center" vertical="center" wrapText="1"/>
    </x:xf>
    <x:xf numFmtId="200" fontId="3" fillId="3" borderId="34" xfId="0" applyNumberFormat="1" applyFont="1" applyFill="1" applyBorder="1" applyAlignment="1">
      <x:alignment vertical="top" wrapText="1"/>
    </x:xf>
    <x:xf numFmtId="0" fontId="3" fillId="3" borderId="36" xfId="0" applyNumberFormat="1" applyFont="1" applyFill="1" applyBorder="1" applyAlignment="1">
      <x:alignment vertical="top" wrapText="1"/>
    </x:xf>
    <x:xf numFmtId="0" fontId="3" fillId="3" borderId="39" xfId="0" applyNumberFormat="1" applyFont="1" applyFill="1" applyBorder="1" applyAlignment="1">
      <x:alignment horizontal="center" vertical="center" wrapText="1"/>
    </x:xf>
    <x:xf numFmtId="200" fontId="3" fillId="3" borderId="38" xfId="0" applyNumberFormat="1" applyFont="1" applyFill="1" applyBorder="1" applyAlignment="1">
      <x:alignment vertical="top" wrapText="1"/>
    </x:xf>
    <x:xf numFmtId="0" fontId="3" fillId="3" borderId="40" xfId="0" applyNumberFormat="1" applyFont="1" applyFill="1" applyBorder="1" applyAlignment="1">
      <x:alignment vertical="top" wrapText="1"/>
    </x:xf>
    <x:xf numFmtId="0" fontId="3" fillId="3" borderId="43" xfId="0" applyNumberFormat="1" applyFont="1" applyFill="1" applyBorder="1" applyAlignment="1">
      <x:alignment horizontal="center" vertical="center" wrapText="1"/>
    </x:xf>
    <x:xf numFmtId="200" fontId="3" fillId="3" borderId="42" xfId="0" applyNumberFormat="1" applyFont="1" applyFill="1" applyBorder="1" applyAlignment="1">
      <x:alignment vertical="top" wrapText="1"/>
    </x:xf>
    <x:xf numFmtId="0" fontId="3" fillId="3" borderId="44" xfId="0" applyNumberFormat="1" applyFont="1" applyFill="1" applyBorder="1" applyAlignment="1">
      <x:alignment vertical="top" wrapText="1"/>
    </x:xf>
    <x:xf numFmtId="0" fontId="3" fillId="3" borderId="47" xfId="0" applyNumberFormat="1" applyFont="1" applyFill="1" applyBorder="1" applyAlignment="1">
      <x:alignment horizontal="center" vertical="center" wrapText="1"/>
    </x:xf>
    <x:xf numFmtId="200" fontId="3" fillId="3" borderId="46" xfId="0" applyNumberFormat="1" applyFont="1" applyFill="1" applyBorder="1" applyAlignment="1">
      <x:alignment vertical="top" wrapText="1"/>
    </x:xf>
    <x:xf numFmtId="0" fontId="3" fillId="4" borderId="13"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4" borderId="13" xfId="0" applyNumberFormat="1" applyFont="1" applyFill="1" applyBorder="1" applyAlignment="1">
      <x:alignment horizontal="center" vertical="center" wrapText="1"/>
    </x:xf>
    <x:xf numFmtId="0" fontId="5" fillId="4" borderId="14" xfId="0" applyNumberFormat="1" applyFont="1" applyFill="1" applyBorder="1" applyAlignment="1">
      <x:alignment horizontal="center" vertical="center" wrapText="1"/>
    </x:xf>
    <x:xf numFmtId="0" fontId="6" fillId="4" borderId="27" xfId="0" applyNumberFormat="1" applyFont="1" applyFill="1" applyBorder="1" applyAlignment="1">
      <x:alignment horizontal="center" vertical="center" wrapText="1"/>
    </x:xf>
    <x:xf numFmtId="0" fontId="3" fillId="4" borderId="27" xfId="0" applyNumberFormat="1" applyFont="1" applyFill="1" applyBorder="1" applyAlignment="1">
      <x:alignment horizontal="center" vertical="center" wrapText="1"/>
    </x:xf>
    <x:xf numFmtId="200" fontId="3" fillId="4" borderId="14" xfId="0" applyNumberFormat="1" applyFont="1" applyFill="1" applyBorder="1" applyAlignment="1">
      <x:alignment vertical="top" wrapText="1"/>
    </x:xf>
    <x:xf numFmtId="0" fontId="3" fillId="4" borderId="2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5" fillId="4" borderId="21" xfId="0" applyNumberFormat="1" applyFont="1" applyFill="1" applyBorder="1" applyAlignment="1">
      <x:alignment horizontal="center" vertical="center" wrapText="1"/>
    </x:xf>
    <x:xf numFmtId="0" fontId="5" fillId="4" borderId="22" xfId="0" applyNumberFormat="1" applyFont="1" applyFill="1" applyBorder="1" applyAlignment="1">
      <x:alignment horizontal="center" vertical="center" wrapText="1"/>
    </x:xf>
    <x:xf numFmtId="0" fontId="6" fillId="4" borderId="30" xfId="0" applyNumberFormat="1" applyFont="1" applyFill="1" applyBorder="1" applyAlignment="1">
      <x:alignment horizontal="center" vertical="center" wrapText="1"/>
    </x:xf>
    <x:xf numFmtId="0" fontId="3" fillId="4" borderId="30" xfId="0" applyNumberFormat="1" applyFont="1" applyFill="1" applyBorder="1" applyAlignment="1">
      <x:alignment horizontal="center" vertical="center" wrapText="1"/>
    </x:xf>
    <x:xf numFmtId="200" fontId="3" fillId="4" borderId="22" xfId="0" applyNumberFormat="1" applyFont="1" applyFill="1" applyBorder="1" applyAlignment="1">
      <x:alignment vertical="top" wrapText="1"/>
    </x:xf>
    <x:xf numFmtId="0" fontId="4" fillId="4" borderId="32" xfId="0" applyNumberFormat="1" applyFont="1" applyFill="1" applyBorder="1" applyAlignment="1">
      <x:alignment vertical="top" wrapText="1"/>
    </x:xf>
    <x:xf numFmtId="0" fontId="4" fillId="4" borderId="33" xfId="0" applyNumberFormat="1" applyFont="1" applyFill="1" applyBorder="1" applyAlignment="1">
      <x:alignment vertical="top" wrapText="1"/>
    </x:xf>
    <x:xf numFmtId="0" fontId="4" fillId="4" borderId="36" xfId="0" applyNumberFormat="1" applyFont="1" applyFill="1" applyBorder="1" applyAlignment="1">
      <x:alignment vertical="top" wrapText="1"/>
    </x:xf>
    <x:xf numFmtId="0" fontId="4" fillId="4" borderId="37"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3" fillId="4" borderId="16" xfId="0" applyNumberFormat="1" applyFont="1" applyFill="1" applyBorder="1" applyAlignment="1">
      <x:alignment vertical="top" wrapText="1"/>
    </x:xf>
    <x:xf numFmtId="0" fontId="5" fillId="4" borderId="15" xfId="0" applyNumberFormat="1" applyFont="1" applyFill="1" applyBorder="1" applyAlignment="1">
      <x:alignment horizontal="center" vertical="center" wrapText="1"/>
    </x:xf>
    <x:xf numFmtId="0" fontId="5" fillId="4" borderId="17" xfId="0" applyNumberFormat="1" applyFont="1" applyFill="1" applyBorder="1" applyAlignment="1">
      <x:alignment horizontal="center" vertical="center" wrapText="1"/>
    </x:xf>
    <x:xf numFmtId="0" fontId="6" fillId="4" borderId="28" xfId="0" applyNumberFormat="1" applyFont="1" applyFill="1" applyBorder="1" applyAlignment="1">
      <x:alignment horizontal="center" vertical="center" wrapText="1"/>
    </x:xf>
    <x:xf numFmtId="0" fontId="3" fillId="4" borderId="28" xfId="0" applyNumberFormat="1" applyFont="1" applyFill="1" applyBorder="1" applyAlignment="1">
      <x:alignment horizontal="center" vertical="center" wrapText="1"/>
    </x:xf>
    <x:xf numFmtId="200" fontId="3" fillId="4" borderId="17" xfId="0" applyNumberFormat="1" applyFont="1" applyFill="1" applyBorder="1" applyAlignment="1">
      <x:alignment vertical="top" wrapText="1"/>
    </x:xf>
    <x:xf numFmtId="0" fontId="3" fillId="4" borderId="23" xfId="0" applyNumberFormat="1" applyFont="1" applyFill="1" applyBorder="1" applyAlignment="1">
      <x:alignment vertical="top" wrapText="1"/>
    </x:xf>
    <x:xf numFmtId="0" fontId="3" fillId="4" borderId="24" xfId="0" applyNumberFormat="1" applyFont="1" applyFill="1" applyBorder="1" applyAlignment="1">
      <x:alignment vertical="top" wrapText="1"/>
    </x:xf>
    <x:xf numFmtId="0" fontId="5" fillId="4" borderId="23" xfId="0" applyNumberFormat="1" applyFont="1" applyFill="1" applyBorder="1" applyAlignment="1">
      <x:alignment horizontal="center" vertical="center" wrapText="1"/>
    </x:xf>
    <x:xf numFmtId="0" fontId="5" fillId="4" borderId="25" xfId="0" applyNumberFormat="1" applyFont="1" applyFill="1" applyBorder="1" applyAlignment="1">
      <x:alignment horizontal="center" vertical="center" wrapText="1"/>
    </x:xf>
    <x:xf numFmtId="0" fontId="6" fillId="4" borderId="31" xfId="0" applyNumberFormat="1" applyFont="1" applyFill="1" applyBorder="1" applyAlignment="1">
      <x:alignment horizontal="center" vertical="center" wrapText="1"/>
    </x:xf>
    <x:xf numFmtId="0" fontId="3" fillId="4" borderId="31" xfId="0" applyNumberFormat="1" applyFont="1" applyFill="1" applyBorder="1" applyAlignment="1">
      <x:alignment horizontal="center" vertical="center" wrapText="1"/>
    </x:xf>
    <x:xf numFmtId="200" fontId="3" fillId="4" borderId="25"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48" xfId="0" applyNumberFormat="1" applyFont="1" applyFill="1" applyBorder="1"/>
    <x:xf numFmtId="0" fontId="6" fillId="5" borderId="48" xfId="0" applyNumberFormat="1" applyFont="1" applyFill="1" applyBorder="1" applyAlignment="1">
      <x:alignment horizontal="center"/>
    </x:xf>
    <x:xf numFmtId="0" fontId="6" fillId="5" borderId="48" xfId="0" applyNumberFormat="1" applyFont="1" applyFill="1" applyBorder="1" applyAlignment="1">
      <x:alignment horizontal="center" vertical="center"/>
    </x:xf>
    <x:xf numFmtId="0" fontId="0" fillId="5" borderId="1" xfId="0" applyNumberFormat="1" applyFont="1" applyFill="1" applyBorder="1"/>
    <x:xf numFmtId="0" fontId="6" fillId="5" borderId="1" xfId="0" applyNumberFormat="1" applyFont="1" applyFill="1" applyBorder="1"/>
    <x:xf numFmtId="0" fontId="6" fillId="5" borderId="49" xfId="0" applyNumberFormat="1" applyFont="1" applyFill="1" applyBorder="1"/>
    <x:xf numFmtId="0" fontId="6" fillId="5" borderId="49" xfId="0" applyNumberFormat="1" applyFont="1" applyFill="1" applyBorder="1" applyAlignment="1">
      <x:alignment horizontal="center"/>
    </x:xf>
    <x:xf numFmtId="0" fontId="6" fillId="5" borderId="49" xfId="0" applyNumberFormat="1" applyFont="1" applyFill="1" applyBorder="1" applyAlignment="1">
      <x:alignment horizontal="center" vertical="center"/>
    </x:xf>
    <x:xf numFmtId="0" fontId="7" fillId="0" borderId="0" xfId="0" applyNumberFormat="1" applyFont="1" applyFill="1" applyBorder="1"/>
    <x:xf numFmtId="0" fontId="7" fillId="0" borderId="1"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50" xfId="0" applyNumberFormat="1" applyFont="1" applyFill="1" applyBorder="1"/>
    <x:xf numFmtId="0" fontId="1" fillId="6" borderId="50" xfId="0" applyNumberFormat="1" applyFont="1" applyFill="1" applyBorder="1" applyAlignment="1">
      <x:alignment vertical="center"/>
    </x:xf>
    <x:xf numFmtId="0" fontId="0" fillId="6" borderId="1" xfId="0" applyNumberFormat="1" applyFont="1" applyFill="1" applyBorder="1"/>
    <x:xf numFmtId="0" fontId="1" fillId="6" borderId="1" xfId="0" applyNumberFormat="1" applyFont="1" applyFill="1" applyBorder="1"/>
    <x:xf numFmtId="0" fontId="1" fillId="6" borderId="51" xfId="0" applyNumberFormat="1" applyFont="1" applyFill="1" applyBorder="1"/>
    <x:xf numFmtId="0" fontId="1" fillId="6" borderId="51" xfId="0" applyNumberFormat="1" applyFont="1" applyFill="1" applyBorder="1" applyAlignment="1">
      <x:alignment vertical="center"/>
    </x:xf>
    <x:xf numFmtId="0" fontId="0" fillId="7" borderId="0" xfId="0" applyNumberFormat="1" applyFont="1" applyFill="1" applyBorder="1"/>
    <x:xf numFmtId="0" fontId="3" fillId="7" borderId="0" xfId="0" applyNumberFormat="1" applyFont="1" applyFill="1" applyBorder="1"/>
    <x:xf numFmtId="0" fontId="3" fillId="7" borderId="4" xfId="0" applyNumberFormat="1" applyFont="1" applyFill="1" applyBorder="1"/>
    <x:xf numFmtId="0" fontId="3" fillId="7" borderId="5" xfId="0" applyNumberFormat="1" applyFont="1" applyFill="1" applyBorder="1"/>
    <x:xf numFmtId="0" fontId="3" fillId="7" borderId="6" xfId="0" applyNumberFormat="1" applyFont="1" applyFill="1" applyBorder="1"/>
    <x:xf numFmtId="0" fontId="3" fillId="7" borderId="4" xfId="0" applyNumberFormat="1" applyFont="1" applyFill="1" applyBorder="1" applyAlignment="1">
      <x:alignment horizontal="center"/>
    </x:xf>
    <x:xf numFmtId="0" fontId="3" fillId="7" borderId="5" xfId="0" applyNumberFormat="1" applyFont="1" applyFill="1" applyBorder="1" applyAlignment="1">
      <x:alignment horizontal="center"/>
    </x:xf>
    <x:xf numFmtId="0" fontId="3" fillId="7" borderId="6" xfId="0" applyNumberFormat="1" applyFont="1" applyFill="1" applyBorder="1" applyAlignment="1">
      <x:alignment horizontal="center"/>
    </x:xf>
    <x:xf numFmtId="0" fontId="3" fillId="7" borderId="4" xfId="0" applyNumberFormat="1" applyFont="1" applyFill="1" applyBorder="1" applyAlignment="1">
      <x:alignment horizontal="center" vertical="center"/>
    </x:xf>
    <x:xf numFmtId="0" fontId="3" fillId="7" borderId="5" xfId="0" applyNumberFormat="1" applyFont="1" applyFill="1" applyBorder="1" applyAlignment="1">
      <x:alignment horizontal="center" vertical="center"/>
    </x:xf>
    <x:xf numFmtId="0" fontId="3" fillId="7" borderId="6" xfId="0" applyNumberFormat="1" applyFont="1" applyFill="1" applyBorder="1" applyAlignment="1">
      <x:alignment horizontal="center" vertical="center"/>
    </x:xf>
    <x:xf numFmtId="0" fontId="0" fillId="7" borderId="1" xfId="0" applyNumberFormat="1" applyFont="1" applyFill="1" applyBorder="1"/>
    <x:xf numFmtId="0" fontId="3" fillId="7" borderId="1" xfId="0" applyNumberFormat="1" applyFont="1" applyFill="1" applyBorder="1"/>
    <x:xf numFmtId="0" fontId="3" fillId="7" borderId="7" xfId="0" applyNumberFormat="1" applyFont="1" applyFill="1" applyBorder="1"/>
    <x:xf numFmtId="0" fontId="3" fillId="7" borderId="8" xfId="0" applyNumberFormat="1" applyFont="1" applyFill="1" applyBorder="1"/>
    <x:xf numFmtId="0" fontId="3" fillId="7" borderId="9" xfId="0" applyNumberFormat="1" applyFont="1" applyFill="1" applyBorder="1"/>
    <x:xf numFmtId="0" fontId="3" fillId="7" borderId="7" xfId="0" applyNumberFormat="1" applyFont="1" applyFill="1" applyBorder="1" applyAlignment="1">
      <x:alignment horizontal="center"/>
    </x:xf>
    <x:xf numFmtId="0" fontId="3" fillId="7" borderId="8" xfId="0" applyNumberFormat="1" applyFont="1" applyFill="1" applyBorder="1" applyAlignment="1">
      <x:alignment horizontal="center"/>
    </x:xf>
    <x:xf numFmtId="0" fontId="3" fillId="7" borderId="9" xfId="0" applyNumberFormat="1" applyFont="1" applyFill="1" applyBorder="1" applyAlignment="1">
      <x:alignment horizontal="center"/>
    </x:xf>
    <x:xf numFmtId="0" fontId="3" fillId="7" borderId="7" xfId="0" applyNumberFormat="1" applyFont="1" applyFill="1" applyBorder="1" applyAlignment="1">
      <x:alignment horizontal="center" vertical="center"/>
    </x:xf>
    <x:xf numFmtId="0" fontId="3" fillId="7" borderId="8" xfId="0" applyNumberFormat="1" applyFont="1" applyFill="1" applyBorder="1" applyAlignment="1">
      <x:alignment horizontal="center" vertical="center"/>
    </x:xf>
    <x:xf numFmtId="0" fontId="3" fillId="7" borderId="9" xfId="0" applyNumberFormat="1" applyFont="1" applyFill="1" applyBorder="1" applyAlignment="1">
      <x:alignment horizontal="center" vertical="center"/>
    </x:xf>
    <x:xf numFmtId="0" fontId="8" fillId="7" borderId="4" xfId="0" applyNumberFormat="1" applyFont="1" applyFill="1" applyBorder="1" applyAlignment="1">
      <x:alignment horizontal="center" vertical="center"/>
    </x:xf>
    <x:xf numFmtId="0" fontId="8" fillId="7" borderId="7" xfId="0" applyNumberFormat="1" applyFont="1" applyFill="1" applyBorder="1" applyAlignment="1">
      <x:alignment horizontal="center" vertical="center"/>
    </x:xf>
    <x:xf numFmtId="0" fontId="8" fillId="7" borderId="5" xfId="0" applyNumberFormat="1" applyFont="1" applyFill="1" applyBorder="1" applyAlignment="1">
      <x:alignment horizontal="center" vertical="center"/>
    </x:xf>
    <x:xf numFmtId="0" fontId="8" fillId="7" borderId="8" xfId="0" applyNumberFormat="1" applyFont="1" applyFill="1" applyBorder="1" applyAlignment="1">
      <x:alignment horizontal="center" vertical="center"/>
    </x:xf>
    <x:xf numFmtId="0" fontId="1" fillId="6" borderId="4" xfId="0" applyNumberFormat="1" applyFont="1" applyFill="1" applyBorder="1"/>
    <x:xf numFmtId="0" fontId="1" fillId="6" borderId="5" xfId="0" applyNumberFormat="1" applyFont="1" applyFill="1" applyBorder="1"/>
    <x:xf numFmtId="0" fontId="1" fillId="6" borderId="6" xfId="0" applyNumberFormat="1" applyFont="1" applyFill="1" applyBorder="1"/>
    <x:xf numFmtId="0" fontId="1" fillId="6" borderId="4" xfId="0" applyNumberFormat="1" applyFont="1" applyFill="1" applyBorder="1" applyAlignment="1">
      <x:alignment wrapText="1"/>
    </x:xf>
    <x:xf numFmtId="0" fontId="1" fillId="6" borderId="5" xfId="0" applyNumberFormat="1" applyFont="1" applyFill="1" applyBorder="1" applyAlignment="1">
      <x:alignment wrapText="1"/>
    </x:xf>
    <x:xf numFmtId="0" fontId="1" fillId="6" borderId="6" xfId="0" applyNumberFormat="1" applyFont="1" applyFill="1" applyBorder="1" applyAlignment="1">
      <x:alignment wrapText="1"/>
    </x:xf>
    <x:xf numFmtId="0" fontId="1" fillId="6" borderId="4" xfId="0" applyNumberFormat="1" applyFont="1" applyFill="1" applyBorder="1" applyAlignment="1">
      <x:alignment horizontal="center" wrapText="1"/>
    </x:xf>
    <x:xf numFmtId="0" fontId="1" fillId="6" borderId="5" xfId="0" applyNumberFormat="1" applyFont="1" applyFill="1" applyBorder="1" applyAlignment="1">
      <x:alignment horizontal="center" wrapText="1"/>
    </x:xf>
    <x:xf numFmtId="0" fontId="1" fillId="6" borderId="6" xfId="0" applyNumberFormat="1" applyFont="1" applyFill="1" applyBorder="1" applyAlignment="1">
      <x:alignment horizontal="center" wrapText="1"/>
    </x:xf>
    <x:xf numFmtId="0" fontId="1" fillId="6" borderId="4" xfId="0" applyNumberFormat="1" applyFont="1" applyFill="1" applyBorder="1" applyAlignment="1">
      <x:alignment horizontal="center" vertical="center" wrapText="1"/>
    </x:xf>
    <x:xf numFmtId="0" fontId="1" fillId="6" borderId="5" xfId="0" applyNumberFormat="1" applyFont="1" applyFill="1" applyBorder="1" applyAlignment="1">
      <x:alignment horizontal="center" vertical="center" wrapText="1"/>
    </x:xf>
    <x:xf numFmtId="0" fontId="1" fillId="6" borderId="6" xfId="0" applyNumberFormat="1" applyFont="1" applyFill="1" applyBorder="1" applyAlignment="1">
      <x:alignment horizontal="center" vertical="center" wrapText="1"/>
    </x:xf>
    <x:xf numFmtId="0" fontId="1" fillId="6" borderId="7" xfId="0" applyNumberFormat="1" applyFont="1" applyFill="1" applyBorder="1"/>
    <x:xf numFmtId="0" fontId="1" fillId="6" borderId="8" xfId="0" applyNumberFormat="1" applyFont="1" applyFill="1" applyBorder="1"/>
    <x:xf numFmtId="0" fontId="1" fillId="6" borderId="9" xfId="0" applyNumberFormat="1" applyFont="1" applyFill="1" applyBorder="1"/>
    <x:xf numFmtId="0" fontId="1" fillId="6" borderId="7" xfId="0" applyNumberFormat="1" applyFont="1" applyFill="1" applyBorder="1" applyAlignment="1">
      <x:alignment wrapText="1"/>
    </x:xf>
    <x:xf numFmtId="0" fontId="1" fillId="6" borderId="8" xfId="0" applyNumberFormat="1" applyFont="1" applyFill="1" applyBorder="1" applyAlignment="1">
      <x:alignment wrapText="1"/>
    </x:xf>
    <x:xf numFmtId="0" fontId="1" fillId="6" borderId="9" xfId="0" applyNumberFormat="1" applyFont="1" applyFill="1" applyBorder="1" applyAlignment="1">
      <x:alignment wrapText="1"/>
    </x:xf>
    <x:xf numFmtId="0" fontId="1" fillId="6" borderId="7" xfId="0" applyNumberFormat="1" applyFont="1" applyFill="1" applyBorder="1" applyAlignment="1">
      <x:alignment horizontal="center" wrapText="1"/>
    </x:xf>
    <x:xf numFmtId="0" fontId="1" fillId="6" borderId="8" xfId="0" applyNumberFormat="1" applyFont="1" applyFill="1" applyBorder="1" applyAlignment="1">
      <x:alignment horizontal="center" wrapText="1"/>
    </x:xf>
    <x:xf numFmtId="0" fontId="1" fillId="6" borderId="9" xfId="0" applyNumberFormat="1" applyFont="1" applyFill="1" applyBorder="1" applyAlignment="1">
      <x:alignment horizontal="center" wrapText="1"/>
    </x:xf>
    <x:xf numFmtId="0" fontId="1" fillId="6" borderId="7" xfId="0" applyNumberFormat="1" applyFont="1" applyFill="1" applyBorder="1" applyAlignment="1">
      <x:alignment horizontal="center" vertical="center" wrapText="1"/>
    </x:xf>
    <x:xf numFmtId="0" fontId="1" fillId="6" borderId="8" xfId="0" applyNumberFormat="1" applyFont="1" applyFill="1" applyBorder="1" applyAlignment="1">
      <x:alignment horizontal="center" vertical="center" wrapText="1"/>
    </x:xf>
    <x:xf numFmtId="0" fontId="1" fillId="6" borderId="9" xfId="0" applyNumberFormat="1" applyFont="1" applyFill="1" applyBorder="1" applyAlignment="1">
      <x:alignment horizontal="center" vertical="center" wrapText="1"/>
    </x:xf>
    <x:xf numFmtId="0" fontId="3" fillId="7" borderId="10" xfId="0" applyNumberFormat="1" applyFont="1" applyFill="1" applyBorder="1" applyAlignment="1">
      <x:alignment vertical="top" wrapText="1"/>
    </x:xf>
    <x:xf numFmtId="0" fontId="3" fillId="7" borderId="11" xfId="0" applyNumberFormat="1" applyFont="1" applyFill="1" applyBorder="1" applyAlignment="1">
      <x:alignment vertical="top" wrapText="1"/>
    </x:xf>
    <x:xf numFmtId="0" fontId="5" fillId="7" borderId="10" xfId="0" applyNumberFormat="1" applyFont="1" applyFill="1" applyBorder="1" applyAlignment="1">
      <x:alignment horizontal="center" vertical="center" wrapText="1"/>
    </x:xf>
    <x:xf numFmtId="0" fontId="5" fillId="7" borderId="12" xfId="0" applyNumberFormat="1" applyFont="1" applyFill="1" applyBorder="1" applyAlignment="1">
      <x:alignment horizontal="center" vertical="center" wrapText="1"/>
    </x:xf>
    <x:xf numFmtId="0" fontId="6" fillId="7" borderId="26" xfId="0" applyNumberFormat="1" applyFont="1" applyFill="1" applyBorder="1" applyAlignment="1">
      <x:alignment horizontal="center" vertical="center" wrapText="1"/>
    </x:xf>
    <x:xf numFmtId="0" fontId="3" fillId="7" borderId="26" xfId="0" applyNumberFormat="1" applyFont="1" applyFill="1" applyBorder="1" applyAlignment="1">
      <x:alignment horizontal="center" vertical="center" wrapText="1"/>
    </x:xf>
    <x:xf numFmtId="200" fontId="3" fillId="7" borderId="12" xfId="0" applyNumberFormat="1" applyFont="1" applyFill="1" applyBorder="1" applyAlignment="1">
      <x:alignment vertical="top" wrapText="1"/>
    </x:xf>
    <x:xf numFmtId="0" fontId="3" fillId="7" borderId="18" xfId="0" applyNumberFormat="1" applyFont="1" applyFill="1" applyBorder="1" applyAlignment="1">
      <x:alignment vertical="top" wrapText="1"/>
    </x:xf>
    <x:xf numFmtId="0" fontId="3" fillId="7" borderId="19" xfId="0" applyNumberFormat="1" applyFont="1" applyFill="1" applyBorder="1" applyAlignment="1">
      <x:alignment vertical="top" wrapText="1"/>
    </x:xf>
    <x:xf numFmtId="0" fontId="5" fillId="7" borderId="18" xfId="0" applyNumberFormat="1" applyFont="1" applyFill="1" applyBorder="1" applyAlignment="1">
      <x:alignment horizontal="center" vertical="center" wrapText="1"/>
    </x:xf>
    <x:xf numFmtId="0" fontId="5" fillId="7" borderId="20" xfId="0" applyNumberFormat="1" applyFont="1" applyFill="1" applyBorder="1" applyAlignment="1">
      <x:alignment horizontal="center" vertical="center" wrapText="1"/>
    </x:xf>
    <x:xf numFmtId="0" fontId="6" fillId="7" borderId="29" xfId="0" applyNumberFormat="1" applyFont="1" applyFill="1" applyBorder="1" applyAlignment="1">
      <x:alignment horizontal="center" vertical="center" wrapText="1"/>
    </x:xf>
    <x:xf numFmtId="0" fontId="3" fillId="7" borderId="29" xfId="0" applyNumberFormat="1" applyFont="1" applyFill="1" applyBorder="1" applyAlignment="1">
      <x:alignment horizontal="center" vertical="center" wrapText="1"/>
    </x:xf>
    <x:xf numFmtId="200" fontId="3" fillId="7" borderId="20" xfId="0" applyNumberFormat="1" applyFont="1" applyFill="1" applyBorder="1" applyAlignment="1">
      <x:alignment vertical="top" wrapText="1"/>
    </x:xf>
    <x:xf numFmtId="0" fontId="3" fillId="7" borderId="32" xfId="0" applyNumberFormat="1" applyFont="1" applyFill="1" applyBorder="1" applyAlignment="1">
      <x:alignment vertical="top" wrapText="1"/>
    </x:xf>
    <x:xf numFmtId="0" fontId="3" fillId="7" borderId="33" xfId="0" applyNumberFormat="1" applyFont="1" applyFill="1" applyBorder="1" applyAlignment="1">
      <x:alignment vertical="top" wrapText="1"/>
    </x:xf>
    <x:xf numFmtId="0" fontId="3" fillId="7" borderId="35" xfId="0" applyNumberFormat="1" applyFont="1" applyFill="1" applyBorder="1" applyAlignment="1">
      <x:alignment horizontal="center" vertical="center" wrapText="1"/>
    </x:xf>
    <x:xf numFmtId="200" fontId="3" fillId="7" borderId="34" xfId="0" applyNumberFormat="1" applyFont="1" applyFill="1" applyBorder="1" applyAlignment="1">
      <x:alignment vertical="top" wrapText="1"/>
    </x:xf>
    <x:xf numFmtId="0" fontId="3" fillId="7" borderId="36" xfId="0" applyNumberFormat="1" applyFont="1" applyFill="1" applyBorder="1" applyAlignment="1">
      <x:alignment vertical="top" wrapText="1"/>
    </x:xf>
    <x:xf numFmtId="0" fontId="3" fillId="7" borderId="37" xfId="0" applyNumberFormat="1" applyFont="1" applyFill="1" applyBorder="1" applyAlignment="1">
      <x:alignment vertical="top" wrapText="1"/>
    </x:xf>
    <x:xf numFmtId="0" fontId="3" fillId="7" borderId="39" xfId="0" applyNumberFormat="1" applyFont="1" applyFill="1" applyBorder="1" applyAlignment="1">
      <x:alignment horizontal="center" vertical="center" wrapText="1"/>
    </x:xf>
    <x:xf numFmtId="200" fontId="3" fillId="7" borderId="38" xfId="0" applyNumberFormat="1" applyFont="1" applyFill="1" applyBorder="1" applyAlignment="1">
      <x:alignment vertical="top" wrapText="1"/>
    </x:xf>
    <x:xf numFmtId="0" fontId="3" fillId="7" borderId="40" xfId="0" applyNumberFormat="1" applyFont="1" applyFill="1" applyBorder="1" applyAlignment="1">
      <x:alignment vertical="top" wrapText="1"/>
    </x:xf>
    <x:xf numFmtId="0" fontId="3" fillId="7" borderId="41" xfId="0" applyNumberFormat="1" applyFont="1" applyFill="1" applyBorder="1" applyAlignment="1">
      <x:alignment vertical="top" wrapText="1"/>
    </x:xf>
    <x:xf numFmtId="0" fontId="3" fillId="7" borderId="43" xfId="0" applyNumberFormat="1" applyFont="1" applyFill="1" applyBorder="1" applyAlignment="1">
      <x:alignment horizontal="center" vertical="center" wrapText="1"/>
    </x:xf>
    <x:xf numFmtId="200" fontId="3" fillId="7" borderId="42" xfId="0" applyNumberFormat="1" applyFont="1" applyFill="1" applyBorder="1" applyAlignment="1">
      <x:alignment vertical="top" wrapText="1"/>
    </x:xf>
    <x:xf numFmtId="0" fontId="3" fillId="7" borderId="44" xfId="0" applyNumberFormat="1" applyFont="1" applyFill="1" applyBorder="1" applyAlignment="1">
      <x:alignment vertical="top" wrapText="1"/>
    </x:xf>
    <x:xf numFmtId="0" fontId="3" fillId="7" borderId="45" xfId="0" applyNumberFormat="1" applyFont="1" applyFill="1" applyBorder="1" applyAlignment="1">
      <x:alignment vertical="top" wrapText="1"/>
    </x:xf>
    <x:xf numFmtId="0" fontId="3" fillId="7" borderId="47" xfId="0" applyNumberFormat="1" applyFont="1" applyFill="1" applyBorder="1" applyAlignment="1">
      <x:alignment horizontal="center" vertical="center" wrapText="1"/>
    </x:xf>
    <x:xf numFmtId="200" fontId="3" fillId="7" borderId="46" xfId="0" applyNumberFormat="1" applyFont="1" applyFill="1" applyBorder="1" applyAlignment="1">
      <x:alignment vertical="top" wrapText="1"/>
    </x:xf>
    <x:xf numFmtId="0" fontId="8" fillId="7" borderId="40" xfId="0" applyNumberFormat="1" applyFont="1" applyFill="1" applyBorder="1" applyAlignment="1">
      <x:alignment vertical="top" wrapText="1"/>
    </x:xf>
    <x:xf numFmtId="0" fontId="8" fillId="7" borderId="41"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4" xfId="0" applyNumberFormat="1" applyFont="1" applyFill="1" applyBorder="1" applyAlignment="1">
      <x:alignment horizontal="center" vertical="top" wrapText="1"/>
    </x:xf>
    <x:xf numFmtId="0" fontId="8" fillId="7" borderId="6" xfId="0" applyNumberFormat="1" applyFont="1" applyFill="1" applyBorder="1" applyAlignment="1">
      <x:alignment horizontal="center" vertical="top" wrapText="1"/>
    </x:xf>
    <x:xf numFmtId="0" fontId="8" fillId="7" borderId="4" xfId="0" applyNumberFormat="1" applyFont="1" applyFill="1" applyBorder="1" applyAlignment="1">
      <x:alignment horizontal="center" vertical="center" wrapText="1"/>
    </x:xf>
    <x:xf numFmtId="0" fontId="8" fillId="7" borderId="6" xfId="0" applyNumberFormat="1" applyFont="1" applyFill="1" applyBorder="1" applyAlignment="1">
      <x:alignment horizontal="center" vertical="center" wrapText="1"/>
    </x:xf>
    <x:xf numFmtId="0" fontId="8" fillId="7" borderId="44" xfId="0" applyNumberFormat="1" applyFont="1" applyFill="1" applyBorder="1" applyAlignment="1">
      <x:alignment vertical="top" wrapText="1"/>
    </x:xf>
    <x:xf numFmtId="0" fontId="8" fillId="7" borderId="4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8" fillId="7" borderId="7" xfId="0" applyNumberFormat="1" applyFont="1" applyFill="1" applyBorder="1" applyAlignment="1">
      <x:alignment horizontal="center" vertical="top" wrapText="1"/>
    </x:xf>
    <x:xf numFmtId="0" fontId="8" fillId="7" borderId="9" xfId="0" applyNumberFormat="1" applyFont="1" applyFill="1" applyBorder="1" applyAlignment="1">
      <x:alignment horizontal="center" vertical="top" wrapText="1"/>
    </x:xf>
    <x:xf numFmtId="0" fontId="8" fillId="7" borderId="7" xfId="0" applyNumberFormat="1" applyFont="1" applyFill="1" applyBorder="1" applyAlignment="1">
      <x:alignment horizontal="center" vertical="center" wrapText="1"/>
    </x:xf>
    <x:xf numFmtId="0" fontId="8" fillId="7" borderId="9" xfId="0" applyNumberFormat="1" applyFont="1" applyFill="1" applyBorder="1" applyAlignment="1">
      <x:alignment horizontal="center" vertical="center" wrapText="1"/>
    </x:xf>
    <x:xf numFmtId="0" fontId="8" fillId="7" borderId="32" xfId="0" applyNumberFormat="1" applyFont="1" applyFill="1" applyBorder="1" applyAlignment="1">
      <x:alignment horizontal="center" vertical="center" wrapText="1"/>
    </x:xf>
    <x:xf numFmtId="0" fontId="8" fillId="7" borderId="34" xfId="0" applyNumberFormat="1" applyFont="1" applyFill="1" applyBorder="1" applyAlignment="1">
      <x:alignment horizontal="center" vertical="center" wrapText="1"/>
    </x:xf>
    <x:xf numFmtId="0" fontId="8" fillId="7" borderId="36" xfId="0" applyNumberFormat="1" applyFont="1" applyFill="1" applyBorder="1" applyAlignment="1">
      <x:alignment horizontal="center" vertical="center" wrapText="1"/>
    </x:xf>
    <x:xf numFmtId="0" fontId="8" fillId="7" borderId="38" xfId="0" applyNumberFormat="1" applyFont="1" applyFill="1" applyBorder="1" applyAlignment="1">
      <x:alignment horizontal="center" vertical="center" wrapText="1"/>
    </x:xf>
    <x:xf numFmtId="0" fontId="8" fillId="7" borderId="40" xfId="0" applyNumberFormat="1" applyFont="1" applyFill="1" applyBorder="1" applyAlignment="1">
      <x:alignment horizontal="center" vertical="center" wrapText="1"/>
    </x:xf>
    <x:xf numFmtId="0" fontId="8" fillId="7" borderId="42" xfId="0" applyNumberFormat="1" applyFont="1" applyFill="1" applyBorder="1" applyAlignment="1">
      <x:alignment horizontal="center" vertical="center" wrapText="1"/>
    </x:xf>
    <x:xf numFmtId="0" fontId="8" fillId="7" borderId="44" xfId="0" applyNumberFormat="1" applyFont="1" applyFill="1" applyBorder="1" applyAlignment="1">
      <x:alignment horizontal="center" vertical="center" wrapText="1"/>
    </x:xf>
    <x:xf numFmtId="0" fontId="8" fillId="7" borderId="46" xfId="0" applyNumberFormat="1" applyFont="1" applyFill="1" applyBorder="1" applyAlignment="1">
      <x:alignment horizontal="center" vertical="center" wrapText="1"/>
    </x:xf>
    <x:xf numFmtId="0" fontId="3" fillId="7" borderId="15" xfId="0" applyNumberFormat="1" applyFont="1" applyFill="1" applyBorder="1" applyAlignment="1">
      <x:alignment vertical="top" wrapText="1"/>
    </x:xf>
    <x:xf numFmtId="0" fontId="3" fillId="7" borderId="16" xfId="0" applyNumberFormat="1" applyFont="1" applyFill="1" applyBorder="1" applyAlignment="1">
      <x:alignment vertical="top" wrapText="1"/>
    </x:xf>
    <x:xf numFmtId="0" fontId="5" fillId="7" borderId="15" xfId="0" applyNumberFormat="1" applyFont="1" applyFill="1" applyBorder="1" applyAlignment="1">
      <x:alignment horizontal="center" vertical="center" wrapText="1"/>
    </x:xf>
    <x:xf numFmtId="0" fontId="5" fillId="7" borderId="17" xfId="0" applyNumberFormat="1" applyFont="1" applyFill="1" applyBorder="1" applyAlignment="1">
      <x:alignment horizontal="center" vertical="center" wrapText="1"/>
    </x:xf>
    <x:xf numFmtId="0" fontId="6" fillId="7" borderId="28" xfId="0" applyNumberFormat="1" applyFont="1" applyFill="1" applyBorder="1" applyAlignment="1">
      <x:alignment horizontal="center" vertical="center" wrapText="1"/>
    </x:xf>
    <x:xf numFmtId="0" fontId="3" fillId="7" borderId="28" xfId="0" applyNumberFormat="1" applyFont="1" applyFill="1" applyBorder="1" applyAlignment="1">
      <x:alignment horizontal="center" vertical="center" wrapText="1"/>
    </x:xf>
    <x:xf numFmtId="200" fontId="3" fillId="7" borderId="17" xfId="0" applyNumberFormat="1" applyFont="1" applyFill="1" applyBorder="1" applyAlignment="1">
      <x:alignment vertical="top" wrapText="1"/>
    </x:xf>
    <x:xf numFmtId="0" fontId="3" fillId="7" borderId="23" xfId="0" applyNumberFormat="1" applyFont="1" applyFill="1" applyBorder="1" applyAlignment="1">
      <x:alignment vertical="top" wrapText="1"/>
    </x:xf>
    <x:xf numFmtId="0" fontId="3" fillId="7" borderId="24" xfId="0" applyNumberFormat="1" applyFont="1" applyFill="1" applyBorder="1" applyAlignment="1">
      <x:alignment vertical="top" wrapText="1"/>
    </x:xf>
    <x:xf numFmtId="0" fontId="5" fillId="7" borderId="23" xfId="0" applyNumberFormat="1" applyFont="1" applyFill="1" applyBorder="1" applyAlignment="1">
      <x:alignment horizontal="center" vertical="center" wrapText="1"/>
    </x:xf>
    <x:xf numFmtId="0" fontId="5" fillId="7" borderId="25" xfId="0" applyNumberFormat="1" applyFont="1" applyFill="1" applyBorder="1" applyAlignment="1">
      <x:alignment horizontal="center" vertical="center" wrapText="1"/>
    </x:xf>
    <x:xf numFmtId="0" fontId="6" fillId="7" borderId="31" xfId="0" applyNumberFormat="1" applyFont="1" applyFill="1" applyBorder="1" applyAlignment="1">
      <x:alignment horizontal="center" vertical="center" wrapText="1"/>
    </x:xf>
    <x:xf numFmtId="0" fontId="3" fillId="7" borderId="31" xfId="0" applyNumberFormat="1" applyFont="1" applyFill="1" applyBorder="1" applyAlignment="1">
      <x:alignment horizontal="center" vertical="center" wrapText="1"/>
    </x:xf>
    <x:xf numFmtId="200" fontId="3" fillId="7" borderId="25" xfId="0" applyNumberFormat="1" applyFont="1" applyFill="1" applyBorder="1" applyAlignment="1">
      <x:alignment vertical="top" wrapText="1"/>
    </x:xf>
    <x:xf numFmtId="0" fontId="1" fillId="6" borderId="4" xfId="0" applyNumberFormat="1" applyFont="1" applyFill="1" applyBorder="1" applyAlignment="1">
      <x:alignment horizontal="center"/>
    </x:xf>
    <x:xf numFmtId="0" fontId="1" fillId="6" borderId="6" xfId="0" applyNumberFormat="1" applyFont="1" applyFill="1" applyBorder="1" applyAlignment="1">
      <x:alignment horizontal="center"/>
    </x:xf>
    <x:xf numFmtId="0" fontId="1" fillId="6" borderId="7" xfId="0" applyNumberFormat="1" applyFont="1" applyFill="1" applyBorder="1" applyAlignment="1">
      <x:alignment horizontal="center"/>
    </x:xf>
    <x:xf numFmtId="0" fontId="1" fillId="6" borderId="9" xfId="0" applyNumberFormat="1" applyFont="1" applyFill="1" applyBorder="1" applyAlignment="1">
      <x:alignment horizontal="center"/>
    </x:xf>
    <x:xf numFmtId="0" fontId="5" fillId="3" borderId="4"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5" fillId="3" borderId="40" xfId="0" applyNumberFormat="1" applyFont="1" applyFill="1" applyBorder="1" applyAlignment="1">
      <x:alignment horizontal="left" vertical="center" wrapText="1"/>
    </x:xf>
    <x:xf numFmtId="0" fontId="5" fillId="3" borderId="42" xfId="0" applyNumberFormat="1" applyFont="1" applyFill="1" applyBorder="1" applyAlignment="1">
      <x:alignment horizontal="left" vertical="center" wrapText="1"/>
    </x:xf>
    <x:xf numFmtId="0" fontId="5" fillId="3" borderId="32" xfId="0" applyNumberFormat="1" applyFont="1" applyFill="1" applyBorder="1" applyAlignment="1">
      <x:alignment horizontal="left" vertical="center" wrapText="1"/>
    </x:xf>
    <x:xf numFmtId="0" fontId="5" fillId="3" borderId="34" xfId="0" applyNumberFormat="1" applyFont="1" applyFill="1" applyBorder="1" applyAlignment="1">
      <x:alignment horizontal="left" vertical="center" wrapText="1"/>
    </x:xf>
    <x:xf numFmtId="0" fontId="5" fillId="3" borderId="4" xfId="0" applyNumberFormat="1" applyFont="1" applyFill="1" applyBorder="1" applyAlignment="1">
      <x:alignment horizontal="left" vertical="center" wrapText="1"/>
    </x:xf>
    <x:xf numFmtId="0" fontId="5" fillId="3" borderId="6" xfId="0" applyNumberFormat="1" applyFont="1" applyFill="1" applyBorder="1" applyAlignment="1">
      <x:alignment horizontal="left" vertical="center" wrapText="1"/>
    </x:xf>
    <x:xf numFmtId="0" fontId="5" fillId="3" borderId="7"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44" xfId="0" applyNumberFormat="1" applyFont="1" applyFill="1" applyBorder="1" applyAlignment="1">
      <x:alignment horizontal="left" vertical="center" wrapText="1"/>
    </x:xf>
    <x:xf numFmtId="0" fontId="5" fillId="3" borderId="46" xfId="0" applyNumberFormat="1" applyFont="1" applyFill="1" applyBorder="1" applyAlignment="1">
      <x:alignment horizontal="left" vertical="center" wrapText="1"/>
    </x:xf>
    <x:xf numFmtId="0" fontId="5" fillId="3" borderId="36" xfId="0" applyNumberFormat="1" applyFont="1" applyFill="1" applyBorder="1" applyAlignment="1">
      <x:alignment horizontal="left" vertical="center" wrapText="1"/>
    </x:xf>
    <x:xf numFmtId="0" fontId="5" fillId="3" borderId="38" xfId="0" applyNumberFormat="1" applyFont="1" applyFill="1" applyBorder="1" applyAlignment="1">
      <x:alignment horizontal="left" vertical="center" wrapText="1"/>
    </x:xf>
    <x:xf numFmtId="0" fontId="5" fillId="3" borderId="7" xfId="0" applyNumberFormat="1" applyFont="1" applyFill="1" applyBorder="1" applyAlignment="1">
      <x:alignment horizontal="left" vertical="center" wrapText="1"/>
    </x:xf>
    <x:xf numFmtId="0" fontId="5" fillId="3" borderId="9" xfId="0" applyNumberFormat="1" applyFont="1" applyFill="1" applyBorder="1" applyAlignment="1">
      <x:alignment horizontal="left" vertical="center" wrapText="1"/>
    </x:xf>
    <x:xf numFmtId="0" fontId="3" fillId="3" borderId="52" xfId="0" applyNumberFormat="1" applyFont="1" applyFill="1" applyBorder="1" applyAlignment="1">
      <x:alignment horizontal="center" vertical="center" wrapText="1"/>
    </x:xf>
    <x:xf numFmtId="0" fontId="3" fillId="3" borderId="53" xfId="0" applyNumberFormat="1" applyFont="1" applyFill="1" applyBorder="1" applyAlignment="1">
      <x:alignment horizontal="center" vertical="center" wrapText="1"/>
    </x:xf>
  </x:cellXfs>
  <x:cellStyles count="1">
    <x:cellStyle name="Normal" xfId="0"/>
  </x:cellStyles>
  <x:dxfs count="6">
    <x:dxf>
      <x:font>
        <x:b/>
        <x:color rgb="FFC62828"/>
        <x:name val="Microsoft YaHei"/>
      </x:font>
      <x:fill>
        <x:patternFill patternType="solid">
          <x:bgColor rgb="FFFDECEC"/>
        </x:patternFill>
      </x:fill>
    </x:dxf>
    <x:dxf>
      <x:font>
        <x:b/>
        <x:color rgb="FF2F6E4F"/>
        <x:name val="Microsoft YaHei"/>
      </x:font>
    </x:dxf>
    <x:dxf>
      <x:font>
        <x:b/>
        <x:color rgb="FF9A6200"/>
        <x:name val="Microsoft YaHei"/>
      </x:font>
    </x:dxf>
    <x:dxf>
      <x:font>
        <x:b/>
        <x:color rgb="FFC62828"/>
        <x:name val="Microsoft YaHei"/>
      </x:font>
      <x:fill>
        <x:patternFill patternType="solid">
          <x:bgColor rgb="FFFDECEC"/>
        </x:patternFill>
      </x:fill>
    </x:dxf>
    <x:dxf>
      <x:font>
        <x:b/>
        <x:color rgb="FF2F6E4F"/>
        <x:name val="Microsoft YaHei"/>
      </x:font>
    </x:dxf>
    <x:dxf>
      <x:font>
        <x:b/>
        <x:color rgb="FF9A6200"/>
        <x:name val="Microsoft YaHei"/>
      </x:font>
    </x:dxf>
  </x:dxfs>
</x:styleSheet>
</file>

<file path=xl/_rels/workbook.xml.rels>&#65279;<?xml version="1.0" encoding="utf-8"?><Relationships xmlns="http://schemas.openxmlformats.org/package/2006/relationships"><Relationship Type="http://schemas.openxmlformats.org/officeDocument/2006/relationships/styles" Target="/xl/styles.xml" Id="R9ce82563dbc84da7" /><Relationship Type="http://schemas.openxmlformats.org/officeDocument/2006/relationships/theme" Target="/xl/theme/theme1.xml" Id="R10a05b9b303e42f1" /><Relationship Type="http://schemas.openxmlformats.org/officeDocument/2006/relationships/sharedStrings" Target="/xl/sharedStrings.xml" Id="Rf7fa2eaa317d4d69" /><Relationship Type="http://schemas.openxmlformats.org/officeDocument/2006/relationships/worksheet" Target="/xl/worksheets/sheet1.xml" Id="R3db4e2aca14c4ff5" /><Relationship Type="http://schemas.openxmlformats.org/officeDocument/2006/relationships/worksheet" Target="/xl/worksheets/sheet2.xml" Id="R7a83d71de1a14d22" /><Relationship Type="http://schemas.openxmlformats.org/officeDocument/2006/relationships/worksheet" Target="/xl/worksheets/sheet3.xml" Id="Rf5dacb6241f246ea" /><Relationship Type="http://schemas.openxmlformats.org/officeDocument/2006/relationships/worksheet" Target="/xl/worksheets/sheet4.xml" Id="R2ea7f13934894de2" /></Relationships>
</file>

<file path=xl/tables/table1.xml><?xml version="1.0" encoding="utf-8"?>
<x:table xmlns:x="http://schemas.openxmlformats.org/spreadsheetml/2006/main" id="1" name="CrawlerDataTable" displayName="CrawlerDataTable" ref="A1:R15" headerRowCount="1">
  <x:tableColumns count="18">
    <x:tableColumn id="1" name="院校等级"/>
    <x:tableColumn id="2" name="院校名称"/>
    <x:tableColumn id="3" name="学院/项目"/>
    <x:tableColumn id="4" name="通知标题"/>
    <x:tableColumn id="5" name="专业方向"/>
    <x:tableColumn id="6" name="发布时间"/>
    <x:tableColumn id="7" name="报名开始"/>
    <x:tableColumn id="8" name="报名截止"/>
    <x:tableColumn id="9" name="状态"/>
    <x:tableColumn id="10" name="考核方式"/>
    <x:tableColumn id="11" name="公告URL"/>
    <x:tableColumn id="12" name="报名URL"/>
    <x:tableColumn id="13" name="申请材料"/>
    <x:tableColumn id="14" name="跨专业说明"/>
    <x:tableColumn id="15" name="置信度"/>
    <x:tableColumn id="16" name="首次采集"/>
    <x:tableColumn id="17" name="最近核验"/>
    <x:tableColumn id="18"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c517a7fcbb4409c" /></Relationships>
</file>

<file path=xl/worksheets/sheet1.xml><?xml version="1.0" encoding="utf-8"?>
<x:worksheet xmlns:x="http://schemas.openxmlformats.org/spreadsheetml/2006/main">
  <x:sheetFormatPr defaultRowHeight="15"/>
  <x:cols>
    <x:col min="1" max="1" width="10" hidden="0" customWidth="1"/>
    <x:col min="2" max="2" width="15" hidden="0" customWidth="1"/>
    <x:col min="3" max="3" width="22" hidden="0" customWidth="1"/>
    <x:col min="4" max="4" width="38" hidden="0" customWidth="1"/>
    <x:col min="5" max="5" width="23" hidden="0" customWidth="1"/>
    <x:col min="6" max="6" width="43" hidden="0" customWidth="1"/>
    <x:col min="7" max="7" width="38" hidden="0" customWidth="1"/>
    <x:col min="8" max="8" width="32" hidden="0" customWidth="1"/>
    <x:col min="9" max="9" width="62" hidden="0" customWidth="1"/>
    <x:col min="10" max="10" width="17" hidden="0" customWidth="1"/>
    <x:col min="11" max="11" width="24" hidden="0" customWidth="1"/>
    <x:col min="12" max="12" width="18" hidden="0" customWidth="1"/>
  </x:cols>
  <x:sheetData>
    <x:row r="1" ht="38" customHeight="1">
      <x:c r="A1" s="5" t="str">
        <x:v>2027届设计学 / 设计类预推免信息——985院校</x:v>
      </x:c>
      <x:c r="B1" s="5"/>
      <x:c r="C1" s="5"/>
      <x:c r="D1" s="5"/>
      <x:c r="E1" s="5"/>
      <x:c r="F1" s="5"/>
      <x:c r="G1" s="5"/>
      <x:c r="H1" s="5"/>
      <x:c r="I1" s="5"/>
      <x:c r="J1" s="5"/>
      <x:c r="K1" s="5"/>
      <x:c r="L1" s="5"/>
    </x:row>
    <x:row r="2" ht="24" customHeight="1">
      <x:c r="A2" s="12" t="str">
        <x:v>数据由爬虫输出生成；同校信息连续归组。专业方向、考核方式和申请材料按官网条目编号整理，提交前请打开公告再次核验。</x:v>
      </x:c>
      <x:c r="B2" s="12"/>
      <x:c r="C2" s="12"/>
      <x:c r="D2" s="12"/>
      <x:c r="E2" s="12"/>
      <x:c r="F2" s="12"/>
      <x:c r="G2" s="12"/>
      <x:c r="H2" s="12"/>
      <x:c r="I2" s="12"/>
      <x:c r="J2" s="12"/>
      <x:c r="K2" s="12"/>
      <x:c r="L2" s="12"/>
    </x:row>
    <x:row r="3">
      <x:c r="A3" s="38" t="str">
        <x:v>已收录通知</x:v>
      </x:c>
      <x:c r="B3" s="25" t="n">
        <x:v>11</x:v>
      </x:c>
      <x:c r="C3" s="40" t="str">
        <x:v>当前未截止</x:v>
      </x:c>
      <x:c r="D3" s="25" t="n">
        <x:v>8</x:v>
      </x:c>
      <x:c r="E3" s="40" t="str">
        <x:v>截止待核验</x:v>
      </x:c>
      <x:c r="F3" s="26" t="n">
        <x:v>0</x:v>
      </x:c>
      <x:c r="G3" s="45" t="str">
        <x:v>排序逻辑：优先展示仍可报名且截止较近的学校；同一学校的学院信息保持相邻。</x:v>
      </x:c>
      <x:c r="H3" s="46"/>
      <x:c r="I3" s="46"/>
      <x:c r="J3" s="46"/>
      <x:c r="K3" s="46"/>
      <x:c r="L3" s="47"/>
    </x:row>
    <x:row r="4">
      <x:c r="A4" s="346"/>
      <x:c r="B4" s="346"/>
      <x:c r="C4" s="346"/>
      <x:c r="D4" s="346"/>
      <x:c r="E4" s="346"/>
      <x:c r="F4" s="346"/>
      <x:c r="G4" s="346"/>
      <x:c r="H4" s="346"/>
      <x:c r="I4" s="346"/>
      <x:c r="J4" s="346"/>
      <x:c r="K4" s="346"/>
      <x:c r="L4" s="346"/>
    </x:row>
    <x:row r="5" ht="32" customHeight="1">
      <x:c r="A5" s="63" t="str">
        <x:v>院校等级</x:v>
      </x:c>
      <x:c r="B5" s="64" t="str">
        <x:v>院校名称</x:v>
      </x:c>
      <x:c r="C5" s="64" t="str">
        <x:v>学院 / 项目</x:v>
      </x:c>
      <x:c r="D5" s="64" t="str">
        <x:v>专业方向</x:v>
      </x:c>
      <x:c r="E5" s="64" t="str">
        <x:v>报名时间</x:v>
      </x:c>
      <x:c r="F5" s="64" t="str">
        <x:v>考核方式</x:v>
      </x:c>
      <x:c r="G5" s="64" t="str">
        <x:v>公告链接</x:v>
      </x:c>
      <x:c r="H5" s="64" t="str">
        <x:v>报名链接</x:v>
      </x:c>
      <x:c r="I5" s="64" t="str">
        <x:v>申请材料清单</x:v>
      </x:c>
      <x:c r="J5" s="64" t="str">
        <x:v>倒计时</x:v>
      </x:c>
      <x:c r="K5" s="64" t="str">
        <x:v>信息状态</x:v>
      </x:c>
      <x:c r="L5" s="65" t="str">
        <x:v>最近核验</x:v>
      </x:c>
    </x:row>
    <x:row r="6" ht="168" customHeight="1">
      <x:c r="A6" s="288" t="str">
        <x:v>985</x:v>
      </x:c>
      <x:c r="B6" s="289" t="str">
        <x:v>中央民族大学</x:v>
      </x:c>
      <x:c r="C6" s="253" t="str">
        <x:v>美术学院</x:v>
      </x:c>
      <x:c r="D6" s="253" t="str">
        <x:v>1. 130100 艺术学—美术学、艺术遗产
2. 135600 美术与书法—中国画、油画、版画、综合绘画
3. 135700 设计—传达与媒体设计、时尚与服装设计、环境设计
4. 045113 学科教学（美术）</x:v>
      </x:c>
      <x:c r="E6" s="253" t="str">
        <x:v>开始：2026-08-01 00:00
截止：2026-08-15 17:00</x:v>
      </x:c>
      <x:c r="F6" s="253" t="str">
        <x:v>1. 申请材料审核专家组进行材料评审
2. 材料评审成绩60分及以上者中择优确定复试名单
3. 复试形式为综合面试，每人20分钟
4. 复试内容包括专业基础知识、综合分析及科研创新能力、外国语听说能力
5. 复试时间为2026年9月4日</x:v>
      </x:c>
      <x:c r="G6" s="480" t="str">
        <x:v>https://art.muc.edu.cn/info/1084/7034.htm</x:v>
      </x:c>
      <x:c r="H6" s="481" t="str">
        <x:v>https://yjszs.muc.edu.cn</x:v>
      </x:c>
      <x:c r="I6" s="256" t="str">
        <x:v>1. 身份证复印件扫描版：正反面扫描在1页纸上
2. 《教育部学籍在线验证报告》
3. 《中央民族大学2027年接收推荐免试研究生申请表》：系统下载后打印，由所在学院或教务部门盖章
4. 本科第1—5学期成绩单：加盖本科就读学校教务处或所在学院公章
5. 外语水平证明复印件
6. 作品集：包含个人简历，以及体现学术水平、科研能力、综合素质的学术研究成果、艺术创作、获奖证书等
7. 作品集为A4尺寸PDF，以“申请培养方向+姓名”命名，一般10—30页，不超过40M；每幅艺术作品下标注作品简介；申请学术型硕士可不提供艺术作品
8. 所有材料按顺序整合为1个PDF并制作目录</x:v>
      </x:c>
      <x:c r="J6" s="257" t="str">
        <x:f>IF(DATE(2026,8,15)+TIME(17,0,0)&lt;=NOW(),"已截止","剩余"&amp;INT(DATE(2026,8,15)+TIME(17,0,0)-NOW())&amp;"天 "&amp;INT(MOD((DATE(2026,8,15)+TIME(17,0,0)-NOW())*24,24))&amp;"小时")</x:f>
        <x:v>剩余14天 17小时</x:v>
      </x:c>
      <x:c r="K6" s="299" t="str">
        <x:v>官网全文已核验</x:v>
      </x:c>
      <x:c r="L6" s="259" t="str">
        <x:v>2026-08-02 03:24</x:v>
      </x:c>
    </x:row>
    <x:row r="7" ht="294" customHeight="1">
      <x:c r="A7" s="288" t="str">
        <x:v>985</x:v>
      </x:c>
      <x:c r="B7" s="289" t="str">
        <x:v>同济大学</x:v>
      </x:c>
      <x:c r="C7" s="256" t="str">
        <x:v>设计创意学院</x:v>
      </x:c>
      <x:c r="D7" s="256" t="str">
        <x:v>1. 设计历史与理论
2. 人工智能与数据设计
3. 工业设计
4. 交互设计
5. 媒体与传达设计
6. 环境设计
7. 产品服务体系设计
8. 设计战略、管理与创业</x:v>
      </x:c>
      <x:c r="E7" s="256" t="str">
        <x:v>开始：2026-07-11 00:00
截止：2026-08-17 12:00</x:v>
      </x:c>
      <x:c r="F7" s="256" t="str">
        <x:v>1. 学院考核选拔小组对提交材料进行综合评价
2. 根据材料审核结果确定复试考生名单
3. 学院预计于9月组织预推免复试，具体时间及安排另行通知
4. 复试不及格者不予录取</x:v>
      </x:c>
      <x:c r="G7" s="480" t="str">
        <x:v>https://tjdi.tongji.edu.cn/NewsDetail.do?ID=6008&amp;lang=</x:v>
      </x:c>
      <x:c r="H7" s="481" t="str">
        <x:v>https://yzbm.tongji.edu.cn/logon</x:v>
      </x:c>
      <x:c r="I7" s="256" t="str">
        <x:v>1. 针对申请方向的硕士阶段学习计划书；学术型硕士申请者提交研究计划书
2. 作品集或相关成果集：限20页，每个作品标注创作时间、指导教师、个人贡献和作品所属单位
3. 在校成绩单：学校/学院教务部门盖章的原件扫描件，须含总评成绩排名位次/总人数
4. 外语水平证书，如大学英语六级、托福、雅思等
5. 计算机水平证书
6. 专业获奖证书及赛事官网获奖通知；无官网通知时在证书扫描件标明
7. 在专业期刊上发表的学术论文
8. 发表的优秀设计作品
9. 专利证书
10. 其他荣誉和获奖情况证明
11. 申请人有效居民身份证
12. 《教育部学籍在线验证报告》
13. 以上材料按顺序整理为1个中英文PDF，添加目录页，20M以内
14. 直博申请者另须提交两封相关学科副教授及以上专家推荐信
15. 退役大学生士兵专项申请者须上传入伍证明和退出现役证明</x:v>
      </x:c>
      <x:c r="J7" s="257" t="str">
        <x:f>IF(DATE(2026,8,17)+TIME(12,0,0)&lt;=NOW(),"已截止","剩余"&amp;INT(DATE(2026,8,17)+TIME(12,0,0)-NOW())&amp;"天 "&amp;INT(MOD((DATE(2026,8,17)+TIME(12,0,0)-NOW())*24,24))&amp;"小时")</x:f>
        <x:v>剩余16天 12小时</x:v>
      </x:c>
      <x:c r="K7" s="299" t="str">
        <x:v>官网全文已核验</x:v>
      </x:c>
      <x:c r="L7" s="300" t="str">
        <x:v>2026-08-02 03:24</x:v>
      </x:c>
    </x:row>
    <x:row r="8" ht="204" customHeight="1">
      <x:c r="A8" s="288" t="str">
        <x:v>985</x:v>
      </x:c>
      <x:c r="B8" s="289" t="str">
        <x:v>东南大学</x:v>
      </x:c>
      <x:c r="C8" s="253" t="str">
        <x:v>艺术学院</x:v>
      </x:c>
      <x:c r="D8" s="253" t="str">
        <x:v>1. 设计学（交叉学科）
2. 设计（专业学位）
3. 美术与书法（专业学位）
4. 艺术学</x:v>
      </x:c>
      <x:c r="E8" s="253" t="str">
        <x:v>开始：2026-07-13 12:00
截止：2026-08-18 12:00</x:v>
      </x:c>
      <x:c r="F8" s="253" t="str">
        <x:v>1. 报名结束后学院从已提交信息的申请者中择优筛选
2. 学院官网公布入选名单，未入选者不另行通知
3. 入选者须在公布名单后两天内通过系统确认参加
4. 具体综合考核安排由系统另行发布</x:v>
      </x:c>
      <x:c r="G8" s="480" t="str">
        <x:v>https://arts.seu.edu.cn/2026/0710/c17236a576463/page.htm</x:v>
      </x:c>
      <x:c r="H8" s="481" t="str">
        <x:v>http://gsas.seu.edu.cn</x:v>
      </x:c>
      <x:c r="I8" s="256" t="str">
        <x:v>1. 东南大学推荐免试研究生申请表：系统生成，学校教务部门或院系签章，本人手写签名；已有盖章排名证明时按通知处理
2. 有效身份证明：居民身份证正反面
3. 在学证明：《教育部学籍信息在线验证报告》
4. 现有本科阶段成绩单：学校教务部门或学院盖章
5. 外语成绩证明：CET-4、CET-6、TOEFL、IELTS等
6. 学术成果证明：论文、专利、学科竞赛证书等
7. 奖励情况证明：校级以上（含）荣誉奖励证书
8. 实践经历证明：科研训练、实习实践、社会工作等
9. 专硕设计、美术与书法作品集：含封面不超过30页、PDF不超过30M；团队作品注明个人独立完成部分
10. 全部材料端正扫描并裁剪多余边框</x:v>
      </x:c>
      <x:c r="J8" s="257" t="str">
        <x:f>IF(DATE(2026,8,18)+TIME(12,0,0)&lt;=NOW(),"已截止","剩余"&amp;INT(DATE(2026,8,18)+TIME(12,0,0)-NOW())&amp;"天 "&amp;INT(MOD((DATE(2026,8,18)+TIME(12,0,0)-NOW())*24,24))&amp;"小时")</x:f>
        <x:v>剩余17天 12小时</x:v>
      </x:c>
      <x:c r="K8" s="299" t="str">
        <x:v>官网全文已核验</x:v>
      </x:c>
      <x:c r="L8" s="259" t="str">
        <x:v>2026-08-02 03:24</x:v>
      </x:c>
    </x:row>
    <x:row r="9" ht="150" customHeight="1">
      <x:c r="A9" s="284" t="str">
        <x:v>985</x:v>
      </x:c>
      <x:c r="B9" s="285" t="str">
        <x:v>华东师范大学</x:v>
      </x:c>
      <x:c r="C9" s="240" t="str">
        <x:v>设计学院</x:v>
      </x:c>
      <x:c r="D9" s="240" t="str">
        <x:v>1. 设计学
2. 设计（专业学位）
3. 具体招生方向以2027年推免专业目录为准</x:v>
      </x:c>
      <x:c r="E9" s="240" t="str">
        <x:v>开始：2026-07-27 10:00
截止：2026-08-30 16:00</x:v>
      </x:c>
      <x:c r="F9" s="240" t="str">
        <x:v>1. 学院组织专家审核申请材料并遴选复试名单
2. 复试考核安排通过报名系统和学院通知发布
3. 考生需持续关注审核状态和复试通知</x:v>
      </x:c>
      <x:c r="G9" s="482" t="str">
        <x:v>https://www.design.ecnu.edu.cn/blog/6400.html</x:v>
      </x:c>
      <x:c r="H9" s="483" t="str">
        <x:v>https://yjszs-ks.ecnu.edu.cn/logon?zsxm=5</x:v>
      </x:c>
      <x:c r="I9" s="240" t="str">
        <x:v>1. 有效居民身份证
2. 教育部学籍在线验证报告
3. 预报名申请表：报名系统填写后下载打印、签字并扫描上传
4. 诚信承诺书：报名系统下载打印、签字并扫描上传
5. 成绩排名证明或推免排名证明：注明本专业总人数并加盖学校教务部门或学院公章
6. 专业作品集：提供10件作品，其中7件为本科学习期间课堂作业，3件为课外创作（设计）作品；全部内容须为本人原创
7. 其他材料：本科期间成绩单、学术科研成果、获奖证书、外语能力证明等，按系统要求合并上传</x:v>
      </x:c>
      <x:c r="J9" s="241" t="str">
        <x:f>IF(DATE(2026,8,30)+TIME(16,0,0)&lt;=NOW(),"已截止","剩余"&amp;INT(DATE(2026,8,30)+TIME(16,0,0)-NOW())&amp;"天 "&amp;INT(MOD((DATE(2026,8,30)+TIME(16,0,0)-NOW())*24,24))&amp;"小时")</x:f>
        <x:v>剩余29天 15小时</x:v>
      </x:c>
      <x:c r="K9" s="293" t="str">
        <x:v>官网检索文本已核验</x:v>
      </x:c>
      <x:c r="L9" s="294" t="str">
        <x:v>2026-08-02 03:24</x:v>
      </x:c>
    </x:row>
    <x:row r="10" ht="150" customHeight="1">
      <x:c r="A10" s="288" t="str">
        <x:v>985</x:v>
      </x:c>
      <x:c r="B10" s="289" t="str">
        <x:v>华东师范大学</x:v>
      </x:c>
      <x:c r="C10" s="256" t="str">
        <x:v>传播学院</x:v>
      </x:c>
      <x:c r="D10" s="256" t="str">
        <x:v>1. 050300 新闻传播学
2. 055200 新闻与传播—智能游戏交互方向
3. 055300 出版—教材出版与传播方向
4. 135400 戏剧与影视</x:v>
      </x:c>
      <x:c r="E10" s="256" t="str">
        <x:v>开始：2026-07-24 00:00
截止：2026-09-01 16:00</x:v>
      </x:c>
      <x:c r="F10" s="256" t="str">
        <x:v>1. 学院组织专家对申请材料进行审核
2. 根据审核结果遴选复试名单
3. 按学校政策组织复试考核
4. 考生须关注报名系统审核状态及院系复试通知</x:v>
      </x:c>
      <x:c r="G10" s="480" t="str">
        <x:v>https://comm.ecnu.edu.cn/c3/c7/c41511a771015/page.htm</x:v>
      </x:c>
      <x:c r="H10" s="481" t="str">
        <x:v>https://yjszs-ks.ecnu.edu.cn/logon?zsxm=5</x:v>
      </x:c>
      <x:c r="I10" s="256" t="str">
        <x:v>1. 有效居民身份证
2. 教育部学籍在线验证报告
3. 预报名申请表：报名系统填写完毕后下载打印、签字并扫描上传
4. 诚信承诺书：报名系统下载打印、签字并扫描上传
5. 成绩排名证明或推免排名证明：注明本专业总人数并加盖学校教务部门或学院公章
6. 其他材料合并为1个PDF：本科期间成绩单（加盖公章）
7. 其他材料合并为1个PDF：学术科研成果、获奖证书、外语能力证明等能够证明个人学术能力的材料</x:v>
      </x:c>
      <x:c r="J10" s="257" t="str">
        <x:f>IF(DATE(2026,9,1)+TIME(16,0,0)&lt;=NOW(),"已截止","剩余"&amp;INT(DATE(2026,9,1)+TIME(16,0,0)-NOW())&amp;"天 "&amp;INT(MOD((DATE(2026,9,1)+TIME(16,0,0)-NOW())*24,24))&amp;"小时")</x:f>
        <x:v>剩余31天 15小时</x:v>
      </x:c>
      <x:c r="K10" s="299" t="str">
        <x:v>官网全文已核验</x:v>
      </x:c>
      <x:c r="L10" s="300" t="str">
        <x:v>2026-08-02 03:24</x:v>
      </x:c>
    </x:row>
    <x:row r="11" ht="204" customHeight="1">
      <x:c r="A11" s="288" t="str">
        <x:v>985</x:v>
      </x:c>
      <x:c r="B11" s="289" t="str">
        <x:v>厦门大学</x:v>
      </x:c>
      <x:c r="C11" s="253" t="str">
        <x:v>创意与创新学院</x:v>
      </x:c>
      <x:c r="D11" s="253" t="str">
        <x:v>1. 健康创新设计
2. 社会创新设计
3. 文化创新设计
4. 智慧创新设计</x:v>
      </x:c>
      <x:c r="E11" s="253" t="str">
        <x:v>开始：2026-07-11 00:00
截止：2026-08-31 23:59</x:v>
      </x:c>
      <x:c r="F11" s="253" t="str">
        <x:v>1. 申请人完成系统预报名并上传附件材料
2. 学院对申请材料进行审核并另行通知考核安排
3. 通过学院考核并取得推免资格后，须在教育部推免系统完成正式确认</x:v>
      </x:c>
      <x:c r="G11" s="480" t="str">
        <x:v>https://ici.xmu.edu.cn/info/1331/12195.htm</x:v>
      </x:c>
      <x:c r="H11" s="481" t="str">
        <x:v>https://ssyjsbm.xmu.edu.cn/</x:v>
      </x:c>
      <x:c r="I11" s="256" t="str">
        <x:v>1. 《厦门大学2027年推荐免试攻读研究生（含直博生）申请表》
2. 两位副教授及以上专家的中、英文推荐信
3. 本科阶段中、英文成绩单原件各1份，含学业排名证明并加盖学校教务部门或院系公章
4. 英语水平证明：雅思、托福、全国大学英语四六级等
5. 代表性学术论文、出版物或原创性工作成果等中、英文材料；有科研成果和获奖证书者提供中、英文扫描件
6. 身份证原件扫描件
7. 学生证原件扫描件
8. 报考陈述：含研究兴趣，中英文各1份，各1000字（词）以内，并提交本人签名扫描件
9. 设计作品集：3—5个作业或作品，至少2个独立完成；团队作品须为第一作者并注明合作者及个人完成部分；注明指导教师；中英双语；含封面不超过30页
10. 以上材料按1—9顺序整理为1个PDF，文件不超过15M</x:v>
      </x:c>
      <x:c r="J11" s="257" t="str">
        <x:f>IF(DATE(2026,8,31)+TIME(23,59,0)&lt;=NOW(),"已截止","剩余"&amp;INT(DATE(2026,8,31)+TIME(23,59,0)-NOW())&amp;"天 "&amp;INT(MOD((DATE(2026,8,31)+TIME(23,59,0)-NOW())*24,24))&amp;"小时")</x:f>
        <x:v>剩余30天 23小时</x:v>
      </x:c>
      <x:c r="K11" s="299" t="str">
        <x:v>官网全文已核验</x:v>
      </x:c>
      <x:c r="L11" s="259" t="str">
        <x:v>2026-08-02 03:24</x:v>
      </x:c>
    </x:row>
    <x:row r="12" ht="186" customHeight="1">
      <x:c r="A12" s="288" t="str">
        <x:v>985</x:v>
      </x:c>
      <x:c r="B12" s="289" t="str">
        <x:v>哈尔滨工业大学</x:v>
      </x:c>
      <x:c r="C12" s="256" t="str">
        <x:v>建筑与设计学院</x:v>
      </x:c>
      <x:c r="D12" s="256" t="str">
        <x:v>1. 建筑学
2. 智慧建筑与建造
3. 城乡规划
4. 风景园林
5. 环境设计
6. 建筑环境与能源应用工程
7. 数字媒体艺术
8. 数字媒体设计
9. 工业设计</x:v>
      </x:c>
      <x:c r="E12" s="256" t="str">
        <x:v>开始：2026-07-22 00:00
截止：2026-09-05 23:59</x:v>
      </x:c>
      <x:c r="F12" s="256" t="str">
        <x:v>1. 学院分两批集中审核申请信息
2. 第一批在2026年8月23日前通知，第二批在2026年9月7日前通知
3. 第一批考核在2026年9月5日前完成，第二批在2026年9月15日前完成
4. 考核时间与方式以学院通知为准</x:v>
      </x:c>
      <x:c r="G12" s="480" t="str">
        <x:v>https://arch.hit.edu.cn/2026/0722/c11953a398084/pagem.htm</x:v>
      </x:c>
      <x:c r="H12" s="481" t="str">
        <x:v>https://yzb.hit.edu.cn/</x:v>
      </x:c>
      <x:c r="I12" s="256" t="str">
        <x:v>1. 所在院（系）或学校教务处盖章的成绩单原件
2. 所在院（系）或学校提供的成绩排名证明
3. 体现英语水平的证明材料：国家英语四、六级，TOEFL，GRE/GMAT等
4. 直博申请者：报考导师同意证明（邮件截图即可）及报考学科相关领域教授或相当职称专家推荐信两封
5. 其他证明材料：已发表论文（如有）
6. 其他证明材料：本科期间各类获奖证书复印件
7. 其他证明材料：其他突出表现的证明材料
8. 以上材料扫描件发送至hitarch-zs@qq.com，邮件标题为“预推免申请材料-本科院校-姓名”
9. 面试报到时携带申请材料1—4原件及其他证明材料复印件审核，并提交全部复印件</x:v>
      </x:c>
      <x:c r="J12" s="257" t="str">
        <x:f>IF(DATE(2026,9,5)+TIME(23,59,0)&lt;=NOW(),"已截止","剩余"&amp;INT(DATE(2026,9,5)+TIME(23,59,0)-NOW())&amp;"天 "&amp;INT(MOD((DATE(2026,9,5)+TIME(23,59,0)-NOW())*24,24))&amp;"小时")</x:f>
        <x:v>剩余35天 23小时</x:v>
      </x:c>
      <x:c r="K12" s="299" t="str">
        <x:v>官网全文已核验</x:v>
      </x:c>
      <x:c r="L12" s="300" t="str">
        <x:v>2026-08-02 03:24</x:v>
      </x:c>
    </x:row>
    <x:row r="13" ht="168" customHeight="1">
      <x:c r="A13" s="288" t="str">
        <x:v>985</x:v>
      </x:c>
      <x:c r="B13" s="289" t="str">
        <x:v>天津大学</x:v>
      </x:c>
      <x:c r="C13" s="253" t="str">
        <x:v>建筑学院</x:v>
      </x:c>
      <x:c r="D13" s="253" t="str">
        <x:v>1. 039902 非物质文化遗产学
2. 081300 建筑学
3. 083300 城乡规划学
4. 085100 建筑
5. 085300 城乡规划
6. 086200 风景园林
7. 135700 设计—环境艺术设计、视觉艺术
8. 140300 设计学—环境艺术设计及其理论、视觉艺术综合研究</x:v>
      </x:c>
      <x:c r="E13" s="253" t="str">
        <x:v>开始：2026-07-13 00:00
截止：2026-09-09 23:59</x:v>
      </x:c>
      <x:c r="F13" s="253" t="str">
        <x:v>1. 普通推免分两个批次审核报名信息：8月10日、9月9日
2. 材料审核后适时组织复试考核，额满为止
3. 导师团招生、青年导师专项和普通推免为不同申请途径
4. 导师团由团队依据教育背景、学业水平、科研能力和综合素质进行资格评审并组织面试</x:v>
      </x:c>
      <x:c r="G13" s="480" t="str">
        <x:v>https://arch.tju.edu.cn/info/1218/7491.htm</x:v>
      </x:c>
      <x:c r="H13" s="481" t="str">
        <x:v>https://sszs.tju.edu.cn/10056/user/login/login</x:v>
      </x:c>
      <x:c r="I13" s="256" t="str">
        <x:v>1. 个人简历（带照片），格式不限，A4大小不得超过1页
2. 身份证正反面扫描件
3. 学生证内页或《教育部学籍在线验证报告》
4. 《本科生课程成绩单》扫描件，加盖培养单位教务部门或学院公章
5. 其他证明材料：外语水平、各类奖励材料、发表论文证明等
6. 下载公告附件模板，将材料整合为1个PDF上传，文件不超过15M</x:v>
      </x:c>
      <x:c r="J13" s="257" t="str">
        <x:f>IF(DATE(2026,9,9)+TIME(23,59,0)&lt;=NOW(),"已截止","剩余"&amp;INT(DATE(2026,9,9)+TIME(23,59,0)-NOW())&amp;"天 "&amp;INT(MOD((DATE(2026,9,9)+TIME(23,59,0)-NOW())*24,24))&amp;"小时")</x:f>
        <x:v>剩余39天 23小时</x:v>
      </x:c>
      <x:c r="K13" s="299" t="str">
        <x:v>官网全文已核验</x:v>
      </x:c>
      <x:c r="L13" s="259" t="str">
        <x:v>2026-08-02 03:24</x:v>
      </x:c>
    </x:row>
    <x:row r="14" ht="168" customHeight="1">
      <x:c r="A14" s="288" t="str">
        <x:v>985</x:v>
      </x:c>
      <x:c r="B14" s="289" t="str">
        <x:v>中国人民大学</x:v>
      </x:c>
      <x:c r="C14" s="256" t="str">
        <x:v>艺术学院</x:v>
      </x:c>
      <x:c r="D14" s="256" t="str">
        <x:v>1. 130100 艺术学—艺术史论研究、艺术管理与传播研究、艺术创作与评论研究
2. 135600 美术与书法—油画、中国画、版画
3. 135700 设计—视觉传达设计、环境设计、数字媒体艺术设计</x:v>
      </x:c>
      <x:c r="E14" s="256" t="str">
        <x:v>开始：2026-07-01 10:00
截止：2026-07-25 10:00</x:v>
      </x:c>
      <x:c r="F14" s="256" t="str">
        <x:v>1. 注册报名并提交申请材料，两个步骤均完成才算报名成功
2. 学院推免接收考核拟于9月开展
3. 具体考核要求另行通知</x:v>
      </x:c>
      <x:c r="G14" s="480" t="str">
        <x:v>https://art.ruc.edu.cn/info/1063/7029.htm</x:v>
      </x:c>
      <x:c r="H14" s="481" t="str">
        <x:v>http://yjsfs.ruc.edu.cn/tp/zs/login/toLogin/tm</x:v>
      </x:c>
      <x:c r="I14" s="256" t="str">
        <x:v>1. 材料A：有效期内身份证、每学期均注册的学生证
2. 材料A：本科学业成绩单及相应年级排名证明，须加盖本科就读学校教务部门公章
3. 材料A：国家英语六级考试成绩单或其他外语水平证明
4. 艺术史论研究、艺术管理与传播研究：可提交公开发表论文、获奖或展演证书等
5. 艺术创作与评论研究：不少于15分钟的个人音乐演奏或演唱视频（不超过300M），可提交论文、获奖或展演证书等
6. 美术与书法：不少于10幅个人作品图片，或公开发表论文、获奖或展览证书等
7. 设计：作品集、获奖或展演证书等
8. 按系统提交格式上传电子版，原件后续择期查验</x:v>
      </x:c>
      <x:c r="J14" s="257" t="str">
        <x:f>IF(DATE(2026,7,25)+TIME(10,0,0)&lt;=NOW(),"已截止","剩余"&amp;INT(DATE(2026,7,25)+TIME(10,0,0)-NOW())&amp;"天 "&amp;INT(MOD((DATE(2026,7,25)+TIME(10,0,0)-NOW())*24,24))&amp;"小时")</x:f>
        <x:v>已截止</x:v>
      </x:c>
      <x:c r="K14" s="299" t="str">
        <x:v>官网全文已核验</x:v>
      </x:c>
      <x:c r="L14" s="300" t="str">
        <x:v>2026-08-02 03:24</x:v>
      </x:c>
    </x:row>
    <x:row r="15" ht="168" customHeight="1">
      <x:c r="A15" s="284" t="str">
        <x:v>985</x:v>
      </x:c>
      <x:c r="B15" s="285" t="str">
        <x:v>清华大学</x:v>
      </x:c>
      <x:c r="C15" s="237" t="str">
        <x:v>深圳国际研究生院</x:v>
      </x:c>
      <x:c r="D15" s="237" t="str">
        <x:v>1. 085100 建筑—未来人居设计
2. 085300 城乡规划—未来人居项目
3. 085400 电子信息—互动媒体设计与技术
4. 085400 电子信息—互联网+创新设计</x:v>
      </x:c>
      <x:c r="E15" s="237" t="str">
        <x:v>开始：2026-07-01 10:00
截止：2026-07-28 15:00</x:v>
      </x:c>
      <x:c r="F15" s="237" t="str">
        <x:v>1. 网上报名并提交电子材料
2. 院系对申请材料进行审核并组织复试
3. 通过复试并同意接收者在系统查询初步录取结果
4. 录取当年6月进行资格复审</x:v>
      </x:c>
      <x:c r="G15" s="482" t="str">
        <x:v>https://www.sigs.tsinghua.edu.cn/2026/0630/c7769a291820/page.htm</x:v>
      </x:c>
      <x:c r="H15" s="483" t="str">
        <x:v>https://yzbm.tsinghua.edu.cn</x:v>
      </x:c>
      <x:c r="I15" s="240" t="str">
        <x:v>1. 有效身份证明（二代居民身份证）
2. 在学证明（学生证）
3. 本人自述
4. 外语水平证明
5. 专家推荐信2封：在线邀请两位与申请学科相关的副教授（含）以上职称专家填写并上传
6. 本科学业成绩单（含学业排名证明）
7. 学科/项目要求提交的其他附加申请材料及其证明
8. 本校应届本科毕业生不需提供在学证明、专家推荐信和成绩单</x:v>
      </x:c>
      <x:c r="J15" s="241" t="str">
        <x:f>IF(DATE(2026,7,28)+TIME(15,0,0)&lt;=NOW(),"已截止","剩余"&amp;INT(DATE(2026,7,28)+TIME(15,0,0)-NOW())&amp;"天 "&amp;INT(MOD((DATE(2026,7,28)+TIME(15,0,0)-NOW())*24,24))&amp;"小时")</x:f>
        <x:v>已截止</x:v>
      </x:c>
      <x:c r="K15" s="293" t="str">
        <x:v>官网全文已核验</x:v>
      </x:c>
      <x:c r="L15" s="243" t="str">
        <x:v>2026-08-02 03:24</x:v>
      </x:c>
    </x:row>
    <x:row r="16" ht="222" customHeight="1">
      <x:c r="A16" s="288" t="str">
        <x:v>985</x:v>
      </x:c>
      <x:c r="B16" s="289" t="str">
        <x:v>清华大学</x:v>
      </x:c>
      <x:c r="C16" s="253" t="str">
        <x:v>美术学院</x:v>
      </x:c>
      <x:c r="D16" s="253" t="str">
        <x:v>1. 130100 艺术学
2. 140300 设计学
3. 135700 设计
4. 135600 美术与书法
5. 1403J1 信息艺术设计交叉学科</x:v>
      </x:c>
      <x:c r="E16" s="253" t="str">
        <x:v>开始：2026-07-01 10:00
截止：2026-07-28 15:00</x:v>
      </x:c>
      <x:c r="F16" s="253" t="str">
        <x:v>1. 申请材料形式审查
2. 进入复试后参加综合考核；具体考核办法另行发布
3. 硕士申请人提前准备5分钟个人陈述PPT
4. 博士申请人提前准备10分钟个人陈述PPT</x:v>
      </x:c>
      <x:c r="G16" s="484" t="str">
        <x:v>https://www.ad.tsinghua.edu.cn/__local/C/64/63/04E2EC726830D5C80FE85AD768F_8CA56269_1A263.pdf</x:v>
      </x:c>
      <x:c r="H16" s="485" t="str">
        <x:v>https://yzbm.tsinghua.edu.cn</x:v>
      </x:c>
      <x:c r="I16" s="256" t="str">
        <x:v>1. 有效身份证明
2. 在学证明
3. 本人自述及研究计划
4. 外语水平证明
5. 清华大学研究生招生考生诚信承诺书
6. 《申请攻读推荐免试硕士学位研究生报名登记表》
7. 两封与报考专业相关的副教授（或相当职称）及以上专家推荐信
8. 本科学业成绩单及排名证明（须加盖学校教务处或本科生院公章）
9. 申请140300设计学、135700设计及135600美术与书法：个人电子版作品集，20幅左右，A4，100M以内
10. 申请1403J1信息艺术设计交叉学科：艺术类背景须上传作品集；非艺术类背景可自愿提交作品集，不提交时上传本人签名说明
11. 其他可证明科研水平和能力的材料；建议提交获奖证书、高质量学术论文、出版物或具有学术水平的工作成果证明</x:v>
      </x:c>
      <x:c r="J16" s="257" t="str">
        <x:f>IF(DATE(2026,7,28)+TIME(15,0,0)&lt;=NOW(),"已截止","剩余"&amp;INT(DATE(2026,7,28)+TIME(15,0,0)-NOW())&amp;"天 "&amp;INT(MOD((DATE(2026,7,28)+TIME(15,0,0)-NOW())*24,24))&amp;"小时")</x:f>
        <x:v>已截止</x:v>
      </x:c>
      <x:c r="K16" s="494" t="str">
        <x:v>官网全文已核验</x:v>
      </x:c>
      <x:c r="L16" s="259" t="str">
        <x:v>2026-08-02 03:24</x:v>
      </x:c>
    </x:row>
    <x:row r="17">
      <x:c r="A17" s="346"/>
      <x:c r="B17" s="346"/>
      <x:c r="C17" s="346"/>
      <x:c r="D17" s="346"/>
      <x:c r="E17" s="346"/>
      <x:c r="F17" s="346"/>
      <x:c r="G17" s="346"/>
      <x:c r="H17" s="346"/>
      <x:c r="I17" s="346"/>
      <x:c r="J17" s="346"/>
      <x:c r="K17" s="346"/>
      <x:c r="L17" s="346"/>
    </x:row>
    <x:row r="18" ht="38" customHeight="1">
      <x:c r="A18" s="340" t="str">
        <x:f>"最近截止： "&amp;B6&amp;" · "&amp;C6&amp;"｜"&amp;J6</x:f>
        <x:v>最近截止： 中央民族大学 · 美术学院｜剩余14天 17小时</x:v>
      </x:c>
      <x:c r="B18" s="340"/>
      <x:c r="C18" s="340"/>
      <x:c r="D18" s="340"/>
      <x:c r="E18" s="340"/>
      <x:c r="F18" s="340"/>
      <x:c r="G18" s="340"/>
      <x:c r="H18" s="340"/>
      <x:c r="I18" s="340"/>
      <x:c r="J18" s="340"/>
      <x:c r="K18" s="340"/>
      <x:c r="L18" s="340"/>
    </x:row>
  </x:sheetData>
  <x:mergeCells>
    <x:mergeCell ref="A1:L1"/>
    <x:mergeCell ref="A2:L2"/>
    <x:mergeCell ref="G3:L3"/>
    <x:mergeCell ref="A9:A10"/>
    <x:mergeCell ref="B9:B10"/>
    <x:mergeCell ref="A15:A16"/>
    <x:mergeCell ref="B15:B16"/>
    <x:mergeCell ref="A18:L18"/>
  </x:mergeCells>
  <x:conditionalFormatting sqref="J6:J16">
    <x:cfRule type="expression" dxfId="0" priority="1">
      <x:formula>J6="已截止"</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5" hidden="0" customWidth="1"/>
    <x:col min="3" max="3" width="22" hidden="0" customWidth="1"/>
    <x:col min="4" max="4" width="38" hidden="0" customWidth="1"/>
    <x:col min="5" max="5" width="23" hidden="0" customWidth="1"/>
    <x:col min="6" max="6" width="43" hidden="0" customWidth="1"/>
    <x:col min="7" max="7" width="38" hidden="0" customWidth="1"/>
    <x:col min="8" max="8" width="32" hidden="0" customWidth="1"/>
    <x:col min="9" max="9" width="62" hidden="0" customWidth="1"/>
    <x:col min="10" max="10" width="17" hidden="0" customWidth="1"/>
    <x:col min="11" max="11" width="24" hidden="0" customWidth="1"/>
    <x:col min="12" max="12" width="18" hidden="0" customWidth="1"/>
  </x:cols>
  <x:sheetData>
    <x:row r="1" ht="38" customHeight="1">
      <x:c r="A1" s="351" t="str">
        <x:v>2027届设计学 / 设计类预推免信息——211院校（非985）</x:v>
      </x:c>
      <x:c r="B1" s="351"/>
      <x:c r="C1" s="351"/>
      <x:c r="D1" s="351"/>
      <x:c r="E1" s="351"/>
      <x:c r="F1" s="351"/>
      <x:c r="G1" s="351"/>
      <x:c r="H1" s="351"/>
      <x:c r="I1" s="351"/>
      <x:c r="J1" s="351"/>
      <x:c r="K1" s="351"/>
      <x:c r="L1" s="351"/>
    </x:row>
    <x:row r="2" ht="24" customHeight="1">
      <x:c r="A2" s="12" t="str">
        <x:v>数据由爬虫输出生成；同校信息连续归组。专业方向、考核方式和申请材料按官网条目编号整理，提交前请打开公告再次核验。</x:v>
      </x:c>
      <x:c r="B2" s="12"/>
      <x:c r="C2" s="12"/>
      <x:c r="D2" s="12"/>
      <x:c r="E2" s="12"/>
      <x:c r="F2" s="12"/>
      <x:c r="G2" s="12"/>
      <x:c r="H2" s="12"/>
      <x:c r="I2" s="12"/>
      <x:c r="J2" s="12"/>
      <x:c r="K2" s="12"/>
      <x:c r="L2" s="12"/>
    </x:row>
    <x:row r="3">
      <x:c r="A3" s="378" t="str">
        <x:v>已收录通知</x:v>
      </x:c>
      <x:c r="B3" s="365" t="n">
        <x:v>3</x:v>
      </x:c>
      <x:c r="C3" s="380" t="str">
        <x:v>当前未截止</x:v>
      </x:c>
      <x:c r="D3" s="365" t="n">
        <x:v>2</x:v>
      </x:c>
      <x:c r="E3" s="380" t="str">
        <x:v>截止待核验</x:v>
      </x:c>
      <x:c r="F3" s="366" t="n">
        <x:v>1</x:v>
      </x:c>
      <x:c r="G3" s="45" t="str">
        <x:v>排序逻辑：优先展示仍可报名且截止较近的学校；同一学校的学院信息保持相邻。</x:v>
      </x:c>
      <x:c r="H3" s="46"/>
      <x:c r="I3" s="46"/>
      <x:c r="J3" s="46"/>
      <x:c r="K3" s="46"/>
      <x:c r="L3" s="47"/>
    </x:row>
    <x:row r="4">
      <x:c r="A4" s="346"/>
      <x:c r="B4" s="346"/>
      <x:c r="C4" s="346"/>
      <x:c r="D4" s="346"/>
      <x:c r="E4" s="346"/>
      <x:c r="F4" s="346"/>
      <x:c r="G4" s="346"/>
      <x:c r="H4" s="346"/>
      <x:c r="I4" s="346"/>
      <x:c r="J4" s="346"/>
      <x:c r="K4" s="346"/>
      <x:c r="L4" s="346"/>
    </x:row>
    <x:row r="5" ht="32" customHeight="1">
      <x:c r="A5" s="391" t="str">
        <x:v>院校等级</x:v>
      </x:c>
      <x:c r="B5" s="392" t="str">
        <x:v>院校名称</x:v>
      </x:c>
      <x:c r="C5" s="392" t="str">
        <x:v>学院 / 项目</x:v>
      </x:c>
      <x:c r="D5" s="392" t="str">
        <x:v>专业方向</x:v>
      </x:c>
      <x:c r="E5" s="392" t="str">
        <x:v>报名时间</x:v>
      </x:c>
      <x:c r="F5" s="392" t="str">
        <x:v>考核方式</x:v>
      </x:c>
      <x:c r="G5" s="392" t="str">
        <x:v>公告链接</x:v>
      </x:c>
      <x:c r="H5" s="392" t="str">
        <x:v>报名链接</x:v>
      </x:c>
      <x:c r="I5" s="392" t="str">
        <x:v>申请材料清单</x:v>
      </x:c>
      <x:c r="J5" s="392" t="str">
        <x:v>倒计时</x:v>
      </x:c>
      <x:c r="K5" s="392" t="str">
        <x:v>信息状态</x:v>
      </x:c>
      <x:c r="L5" s="393" t="str">
        <x:v>最近核验</x:v>
      </x:c>
    </x:row>
    <x:row r="6" ht="96" customHeight="1">
      <x:c r="A6" s="456" t="str">
        <x:v>211</x:v>
      </x:c>
      <x:c r="B6" s="457" t="str">
        <x:v>华东理工大学</x:v>
      </x:c>
      <x:c r="C6" s="429" t="str">
        <x:v>艺术设计与传媒学院</x:v>
      </x:c>
      <x:c r="D6" s="429" t="str">
        <x:v>1. 艺术设计与传媒学院可报专业以2027年推免生招生目录及学院后续要求为准
2. 学院联系人：彭老师；电话021-64253214；邮箱juehan@163.com</x:v>
      </x:c>
      <x:c r="E6" s="429" t="str">
        <x:v>开始：2026-07-21 00:00
截止：2026-09-13 23:59</x:v>
      </x:c>
      <x:c r="F6" s="429" t="str">
        <x:v>1. 预报名用于学院和导师提前了解考生的学科背景、学术水平及综合表现
2. 学校突出能力考查，注重一贯表现、科研创新潜质和专业能力倾向
3. 入围面试后按学院要求提供材料并参加考核
4. 具体面试办法由艺术设计与传媒学院另行发布</x:v>
      </x:c>
      <x:c r="G6" s="480" t="str">
        <x:v>https://gschool.ecust.edu.cn/2026/0720/c12754a192317/page.htm</x:v>
      </x:c>
      <x:c r="H6" s="481" t="str">
        <x:v>https://yz.ecust.edu.cn/</x:v>
      </x:c>
      <x:c r="I6" s="256" t="str">
        <x:v>1. 预报名阶段在线填写信息，学校不要求寄送纸质材料
2. 入围推免面试后，根据艺术设计与传媒学院具体要求提供相关材料
3. 学院细则发布后，爬虫将补充成绩单、外语、作品集、科研成果和其他材料的具体格式</x:v>
      </x:c>
      <x:c r="J6" s="257" t="str">
        <x:f>IF(DATE(2026,9,13)+TIME(23,59,0)&lt;=NOW(),"已截止","剩余"&amp;INT(DATE(2026,9,13)+TIME(23,59,0)-NOW())&amp;"天 "&amp;INT(MOD((DATE(2026,9,13)+TIME(23,59,0)-NOW())*24,24))&amp;"小时")</x:f>
        <x:v>剩余43天 23小时</x:v>
      </x:c>
      <x:c r="K6" s="299" t="str">
        <x:v>校级官网全文已核验；学院材料细则待发布</x:v>
      </x:c>
      <x:c r="L6" s="431" t="str">
        <x:v>2026-08-02 03:24</x:v>
      </x:c>
    </x:row>
    <x:row r="7" ht="132" customHeight="1">
      <x:c r="A7" s="456" t="str">
        <x:v>211</x:v>
      </x:c>
      <x:c r="B7" s="457" t="str">
        <x:v>南京航空航天大学</x:v>
      </x:c>
      <x:c r="C7" s="256" t="str">
        <x:v>艺术学院/相关设计培养单位</x:v>
      </x:c>
      <x:c r="D7" s="256" t="str">
        <x:v>1. 设计学、设计及相关方向以2027推免专业目录和艺术学院通知为准
2. 院级报名截止时间可能早于学校系统截止时间</x:v>
      </x:c>
      <x:c r="E7" s="256" t="str">
        <x:v>开始：2026-07-15 00:00
截止：2026-09-15 23:59</x:v>
      </x:c>
      <x:c r="F7" s="256" t="str">
        <x:v>1. 各学院审核申请材料并择优确定综合考核入围名单
2. 未入围综合考核者不再单独通知
3. 综合考核以综合面试为主
4. 学校根据综合考核成绩择优录取
5. 学院具体时间、要求和安排另行通知</x:v>
      </x:c>
      <x:c r="G7" s="480" t="str">
        <x:v>https://www.graduate.nuaa.edu.cn/2026/0715/c13502a405484/page.htm</x:v>
      </x:c>
      <x:c r="H7" s="481" t="str">
        <x:v>http://yzsbm.nuaa.edu.cn/logon</x:v>
      </x:c>
      <x:c r="I7" s="256" t="str">
        <x:v>1. 所在学校院系教务部门加盖公章的本科学习成绩单，成绩单须反映排名情况
2. 大学英语四级或六级考试成绩单，以及其他能反映英语水平的材料
3. 学术成果：公开发表论文、出版著作、获得专利、获得学术科技奖项、承担课题或其他具有学术水平的成果
4. 各类荣誉、表彰、奖励证书
5. 报考学院要求的其他材料
6. 全部电子材料按编号顺序合并为1个PDF，在报考院系规定时间内通过系统上传</x:v>
      </x:c>
      <x:c r="J7" s="257" t="str">
        <x:f>IF(DATE(2026,9,15)+TIME(23,59,0)&lt;=NOW(),"已截止","剩余"&amp;INT(DATE(2026,9,15)+TIME(23,59,0)-NOW())&amp;"天 "&amp;INT(MOD((DATE(2026,9,15)+TIME(23,59,0)-NOW())*24,24))&amp;"小时")</x:f>
        <x:v>剩余45天 23小时</x:v>
      </x:c>
      <x:c r="K7" s="299" t="str">
        <x:v>校级官网全文已核验；学院细则待更新</x:v>
      </x:c>
      <x:c r="L7" s="300" t="str">
        <x:v>2026-08-02 03:24</x:v>
      </x:c>
    </x:row>
    <x:row r="8" ht="150" customHeight="1">
      <x:c r="A8" s="456" t="str">
        <x:v>211</x:v>
      </x:c>
      <x:c r="B8" s="457" t="str">
        <x:v>北京邮电大学</x:v>
      </x:c>
      <x:c r="C8" s="429" t="str">
        <x:v>数字媒体与设计艺术学院</x:v>
      </x:c>
      <x:c r="D8" s="429" t="str">
        <x:v>1. 140300 设计学—信息交互设计、智能产品设计、数字媒体内容设计
2. 135700 设计
3. 0810Z1 数字媒体技术
4. 新闻传播学、新闻与传播等相关方向以2027目录为准</x:v>
      </x:c>
      <x:c r="E8" s="429" t="str">
        <x:v>开始：待核验
截止：待官方公布</x:v>
      </x:c>
      <x:c r="F8" s="429" t="str">
        <x:v>1. 学院对报名材料进行综合评审，按材料审核成绩择优确定面试名单
2. 每名考生面试时间一般不少于20分钟，随机确定次序并随机抽题，全程录音录像
3. 思想政治素质和品德考核
4. 专业面试：考查外语听说、专业知识；学硕侧重学术素养和科研创新，专硕侧重专业基础、实践能力和职业素养
5. 网上心理测试；未参加者不予录取
6. 数字媒体与设计艺术学院2027实施细则及截止时间待发布</x:v>
      </x:c>
      <x:c r="G8" s="484" t="str">
        <x:v>https://yzb.bupt.edu.cn/info/1011/1460.htm</x:v>
      </x:c>
      <x:c r="H8" s="485" t="str">
        <x:v>https://yzfs.bupt.edu.cn/MasterTm/Signin.aspx</x:v>
      </x:c>
      <x:c r="I8" s="256" t="str">
        <x:v>1. 《北京邮电大学2027年接收推荐免试攻读硕士学位研究生申请表》或直博申请表
2. 大学英语四/六级考试成绩单扫描件
3. 大学期间成绩单扫描件，加盖本科学校教务部门公章
4. 有效居民身份证正反面扫描件
5. 各类获奖证书扫描件
6. 学院要求提交的其他材料；数字媒体与设计艺术学院实施细则发布后由爬虫补充
7. 直博拟录取者另须按规定提交博士登记表和两名副高职及以上专家推荐书</x:v>
      </x:c>
      <x:c r="J8" s="257" t="str">
        <x:f>"待官方公布"</x:f>
        <x:v>待官方公布</x:v>
      </x:c>
      <x:c r="K8" s="494" t="str">
        <x:v>校级官网办法已核验；学院细则待发布</x:v>
      </x:c>
      <x:c r="L8" s="431" t="str">
        <x:v>2026-08-02 03:24</x:v>
      </x:c>
    </x:row>
    <x:row r="9">
      <x:c r="A9" s="346"/>
      <x:c r="B9" s="346"/>
      <x:c r="C9" s="346"/>
      <x:c r="D9" s="346"/>
      <x:c r="E9" s="346"/>
      <x:c r="F9" s="346"/>
      <x:c r="G9" s="346"/>
      <x:c r="H9" s="346"/>
      <x:c r="I9" s="346"/>
      <x:c r="J9" s="346"/>
      <x:c r="K9" s="346"/>
      <x:c r="L9" s="346"/>
    </x:row>
    <x:row r="10" ht="38" customHeight="1">
      <x:c r="A10" s="340" t="str">
        <x:f>"最近截止： "&amp;B6&amp;" · "&amp;C6&amp;"｜"&amp;J6</x:f>
        <x:v>最近截止： 华东理工大学 · 艺术设计与传媒学院｜剩余43天 23小时</x:v>
      </x:c>
      <x:c r="B10" s="340"/>
      <x:c r="C10" s="340"/>
      <x:c r="D10" s="340"/>
      <x:c r="E10" s="340"/>
      <x:c r="F10" s="340"/>
      <x:c r="G10" s="340"/>
      <x:c r="H10" s="340"/>
      <x:c r="I10" s="340"/>
      <x:c r="J10" s="340"/>
      <x:c r="K10" s="340"/>
      <x:c r="L10" s="340"/>
    </x:row>
  </x:sheetData>
  <x:mergeCells>
    <x:mergeCell ref="A1:L1"/>
    <x:mergeCell ref="A2:L2"/>
    <x:mergeCell ref="G3:L3"/>
    <x:mergeCell ref="A10:L10"/>
  </x:mergeCells>
  <x:conditionalFormatting sqref="J6:J8">
    <x:cfRule type="expression" dxfId="3" priority="1">
      <x:formula>J6="已截止"</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5" hidden="0" customWidth="1"/>
    <x:col min="3" max="3" width="22" hidden="0" customWidth="1"/>
    <x:col min="4" max="4" width="42" hidden="0" customWidth="1"/>
    <x:col min="5" max="5" width="38" hidden="0" customWidth="1"/>
    <x:col min="6" max="6" width="13" hidden="0" customWidth="1"/>
    <x:col min="7" max="7" width="18" hidden="0" customWidth="1"/>
    <x:col min="8" max="8" width="18" hidden="0" customWidth="1"/>
    <x:col min="9" max="9" width="14" hidden="0" customWidth="1"/>
    <x:col min="10" max="10" width="42" hidden="0" customWidth="1"/>
    <x:col min="11" max="11" width="42" hidden="0" customWidth="1"/>
    <x:col min="12" max="12" width="38" hidden="0" customWidth="1"/>
    <x:col min="13" max="13" width="58" hidden="0" customWidth="1"/>
    <x:col min="14" max="14" width="34" hidden="0" customWidth="1"/>
    <x:col min="15" max="15" width="24" hidden="0" customWidth="1"/>
    <x:col min="16" max="16" width="18" hidden="0" customWidth="1"/>
    <x:col min="17" max="17" width="18" hidden="0" customWidth="1"/>
    <x:col min="18" max="18" width="34" hidden="0" customWidth="1"/>
  </x:cols>
  <x:sheetData>
    <x:row r="1">
      <x:c r="A1" s="391" t="str">
        <x:v>院校等级</x:v>
      </x:c>
      <x:c r="B1" s="392" t="str">
        <x:v>院校名称</x:v>
      </x:c>
      <x:c r="C1" s="392" t="str">
        <x:v>学院/项目</x:v>
      </x:c>
      <x:c r="D1" s="392" t="str">
        <x:v>通知标题</x:v>
      </x:c>
      <x:c r="E1" s="392" t="str">
        <x:v>专业方向</x:v>
      </x:c>
      <x:c r="F1" s="392" t="str">
        <x:v>发布时间</x:v>
      </x:c>
      <x:c r="G1" s="392" t="str">
        <x:v>报名开始</x:v>
      </x:c>
      <x:c r="H1" s="392" t="str">
        <x:v>报名截止</x:v>
      </x:c>
      <x:c r="I1" s="392" t="str">
        <x:v>状态</x:v>
      </x:c>
      <x:c r="J1" s="392" t="str">
        <x:v>考核方式</x:v>
      </x:c>
      <x:c r="K1" s="392" t="str">
        <x:v>公告URL</x:v>
      </x:c>
      <x:c r="L1" s="392" t="str">
        <x:v>报名URL</x:v>
      </x:c>
      <x:c r="M1" s="392" t="str">
        <x:v>申请材料</x:v>
      </x:c>
      <x:c r="N1" s="392" t="str">
        <x:v>跨专业说明</x:v>
      </x:c>
      <x:c r="O1" s="392" t="str">
        <x:v>置信度</x:v>
      </x:c>
      <x:c r="P1" s="392" t="str">
        <x:v>首次采集</x:v>
      </x:c>
      <x:c r="Q1" s="392" t="str">
        <x:v>最近核验</x:v>
      </x:c>
      <x:c r="R1" s="393" t="str">
        <x:v>备注</x:v>
      </x:c>
    </x:row>
    <x:row r="2">
      <x:c r="A2" s="96" t="str">
        <x:v>985</x:v>
      </x:c>
      <x:c r="B2" s="97" t="str">
        <x:v>东南大学</x:v>
      </x:c>
      <x:c r="C2" s="97" t="str">
        <x:v>艺术学院</x:v>
      </x:c>
      <x:c r="D2" s="97" t="str">
        <x:v>东南大学艺术学院2027年接收推荐免试研究生报名通知</x:v>
      </x:c>
      <x:c r="E2" s="97" t="str">
        <x:v>1. 设计学（交叉学科）
2. 设计（专业学位）
3. 美术与书法（专业学位）
4. 艺术学</x:v>
      </x:c>
      <x:c r="F2" s="97" t="str">
        <x:v>2026-07-10</x:v>
      </x:c>
      <x:c r="G2" s="97" t="str">
        <x:v>2026-07-13 12:00</x:v>
      </x:c>
      <x:c r="H2" s="97" t="str">
        <x:v>2026-08-18 12:00</x:v>
      </x:c>
      <x:c r="I2" s="97" t="str">
        <x:v>报名中</x:v>
      </x:c>
      <x:c r="J2" s="97" t="str">
        <x:v>1. 报名结束后学院从已提交信息的申请者中择优筛选
2. 学院官网公布入选名单，未入选者不另行通知
3. 入选者须在公布名单后两天内通过系统确认参加
4. 具体综合考核安排由系统另行发布</x:v>
      </x:c>
      <x:c r="K2" s="97" t="str">
        <x:v>https://arts.seu.edu.cn/2026/0710/c17236a576463/page.htm</x:v>
      </x:c>
      <x:c r="L2" s="97" t="str">
        <x:v>http://gsas.seu.edu.cn</x:v>
      </x:c>
      <x:c r="M2" s="97" t="str">
        <x:v>1. 东南大学推荐免试研究生申请表：系统生成，学校教务部门或院系签章，本人手写签名；已有盖章排名证明时按通知处理
2. 有效身份证明：居民身份证正反面
3. 在学证明：《教育部学籍信息在线验证报告》
4. 现有本科阶段成绩单：学校教务部门或学院盖章
5. 外语成绩证明：CET-4、CET-6、TOEFL、IELTS等
6. 学术成果证明：论文、专利、学科竞赛证书等
7. 奖励情况证明：校级以上（含）荣誉奖励证书
8. 实践经历证明：科研训练、实习实践、社会工作等
9. 专硕设计、美术与书法作品集：含封面不超过30页、PDF不超过30M；团队作品注明个人独立完成部分
10. 全部材料端正扫描并裁剪多余边框</x:v>
      </x:c>
      <x:c r="N2" s="97" t="str">
        <x:v>以学科和学院审核为准</x:v>
      </x:c>
      <x:c r="O2" s="97" t="str">
        <x:v>官网全文已核验</x:v>
      </x:c>
      <x:c r="P2" s="97" t="str">
        <x:v>2026-08-02 03:16</x:v>
      </x:c>
      <x:c r="Q2" s="97" t="str">
        <x:v>2026-08-02 03:24</x:v>
      </x:c>
      <x:c r="R2" s="98" t="str">
        <x:v>外语原则要求见官网申请条件</x:v>
      </x:c>
    </x:row>
    <x:row r="3">
      <x:c r="A3" s="99" t="str">
        <x:v>985</x:v>
      </x:c>
      <x:c r="B3" s="100" t="str">
        <x:v>中国人民大学</x:v>
      </x:c>
      <x:c r="C3" s="100" t="str">
        <x:v>艺术学院</x:v>
      </x:c>
      <x:c r="D3" s="100" t="str">
        <x:v>中国人民大学艺术学院2027年推免生接收工作报名通知</x:v>
      </x:c>
      <x:c r="E3" s="100" t="str">
        <x:v>1. 130100 艺术学—艺术史论研究、艺术管理与传播研究、艺术创作与评论研究
2. 135600 美术与书法—油画、中国画、版画
3. 135700 设计—视觉传达设计、环境设计、数字媒体艺术设计</x:v>
      </x:c>
      <x:c r="F3" s="100" t="str">
        <x:v>2026-06-26</x:v>
      </x:c>
      <x:c r="G3" s="100" t="str">
        <x:v>2026-07-01 10:00</x:v>
      </x:c>
      <x:c r="H3" s="100" t="str">
        <x:v>2026-07-25 10:00</x:v>
      </x:c>
      <x:c r="I3" s="100" t="str">
        <x:v>已截止</x:v>
      </x:c>
      <x:c r="J3" s="100" t="str">
        <x:v>1. 注册报名并提交申请材料，两个步骤均完成才算报名成功
2. 学院推免接收考核拟于9月开展
3. 具体考核要求另行通知</x:v>
      </x:c>
      <x:c r="K3" s="100" t="str">
        <x:v>https://art.ruc.edu.cn/info/1063/7029.htm</x:v>
      </x:c>
      <x:c r="L3" s="100" t="str">
        <x:v>http://yjsfs.ruc.edu.cn/tp/zs/login/toLogin/tm</x:v>
      </x:c>
      <x:c r="M3" s="100" t="str">
        <x:v>1. 材料A：有效期内身份证、每学期均注册的学生证
2. 材料A：本科学业成绩单及相应年级排名证明，须加盖本科就读学校教务部门公章
3. 材料A：国家英语六级考试成绩单或其他外语水平证明
4. 艺术史论研究、艺术管理与传播研究：可提交公开发表论文、获奖或展演证书等
5. 艺术创作与评论研究：不少于15分钟的个人音乐演奏或演唱视频（不超过300M），可提交论文、获奖或展演证书等
6. 美术与书法：不少于10幅个人作品图片，或公开发表论文、获奖或展览证书等
7. 设计：作品集、获奖或展演证书等
8. 按系统提交格式上传电子版，原件后续择期查验</x:v>
      </x:c>
      <x:c r="N3" s="100" t="str">
        <x:v>以专业相近度、成绩排名、外语水平和学院审核为准</x:v>
      </x:c>
      <x:c r="O3" s="100" t="str">
        <x:v>官网全文已核验</x:v>
      </x:c>
      <x:c r="P3" s="100" t="str">
        <x:v>2026-08-02 03:16</x:v>
      </x:c>
      <x:c r="Q3" s="100" t="str">
        <x:v>2026-08-02 03:24</x:v>
      </x:c>
      <x:c r="R3" s="101" t="str">
        <x:v>已截止</x:v>
      </x:c>
    </x:row>
    <x:row r="4">
      <x:c r="A4" s="99" t="str">
        <x:v>985</x:v>
      </x:c>
      <x:c r="B4" s="100" t="str">
        <x:v>中央民族大学</x:v>
      </x:c>
      <x:c r="C4" s="100" t="str">
        <x:v>美术学院</x:v>
      </x:c>
      <x:c r="D4" s="100" t="str">
        <x:v>中央民族大学美术学院2027年接收推荐免试硕士研究生预报名通知</x:v>
      </x:c>
      <x:c r="E4" s="100" t="str">
        <x:v>1. 130100 艺术学—美术学、艺术遗产
2. 135600 美术与书法—中国画、油画、版画、综合绘画
3. 135700 设计—传达与媒体设计、时尚与服装设计、环境设计
4. 045113 学科教学（美术）</x:v>
      </x:c>
      <x:c r="F4" s="100" t="str">
        <x:v>2026-07-22</x:v>
      </x:c>
      <x:c r="G4" s="100" t="str">
        <x:v>2026-08-01 00:00</x:v>
      </x:c>
      <x:c r="H4" s="100" t="str">
        <x:v>2026-08-15 17:00</x:v>
      </x:c>
      <x:c r="I4" s="100" t="str">
        <x:v>报名中</x:v>
      </x:c>
      <x:c r="J4" s="100" t="str">
        <x:v>1. 申请材料审核专家组进行材料评审
2. 材料评审成绩60分及以上者中择优确定复试名单
3. 复试形式为综合面试，每人20分钟
4. 复试内容包括专业基础知识、综合分析及科研创新能力、外国语听说能力
5. 复试时间为2026年9月4日</x:v>
      </x:c>
      <x:c r="K4" s="100" t="str">
        <x:v>https://art.muc.edu.cn/info/1084/7034.htm</x:v>
      </x:c>
      <x:c r="L4" s="100" t="str">
        <x:v>https://yjszs.muc.edu.cn</x:v>
      </x:c>
      <x:c r="M4" s="100" t="str">
        <x:v>1. 身份证复印件扫描版：正反面扫描在1页纸上
2. 《教育部学籍在线验证报告》
3. 《中央民族大学2027年接收推荐免试研究生申请表》：系统下载后打印，由所在学院或教务部门盖章
4. 本科第1—5学期成绩单：加盖本科就读学校教务处或所在学院公章
5. 外语水平证明复印件
6. 作品集：包含个人简历，以及体现学术水平、科研能力、综合素质的学术研究成果、艺术创作、获奖证书等
7. 作品集为A4尺寸PDF，以“申请培养方向+姓名”命名，一般10—30页，不超过40M；每幅艺术作品下标注作品简介；申请学术型硕士可不提供艺术作品
8. 所有材料按顺序整合为1个PDF并制作目录</x:v>
      </x:c>
      <x:c r="N4" s="100" t="str">
        <x:v>以学校和学院申请条件为准</x:v>
      </x:c>
      <x:c r="O4" s="100" t="str">
        <x:v>官网全文已核验</x:v>
      </x:c>
      <x:c r="P4" s="100" t="str">
        <x:v>2026-08-02 03:16</x:v>
      </x:c>
      <x:c r="Q4" s="100" t="str">
        <x:v>2026-08-02 03:24</x:v>
      </x:c>
      <x:c r="R4" s="101" t="str">
        <x:v>复试时间和形式已明确</x:v>
      </x:c>
    </x:row>
    <x:row r="5">
      <x:c r="A5" s="99" t="str">
        <x:v>985</x:v>
      </x:c>
      <x:c r="B5" s="100" t="str">
        <x:v>华东师范大学</x:v>
      </x:c>
      <x:c r="C5" s="100" t="str">
        <x:v>设计学院</x:v>
      </x:c>
      <x:c r="D5" s="100" t="str">
        <x:v>关于华东师范大学设计学院2027年接收优秀应届本科毕业生免试攻读研究生预报名的通知</x:v>
      </x:c>
      <x:c r="E5" s="100" t="str">
        <x:v>1. 设计学
2. 设计（专业学位）
3. 具体招生方向以2027年推免专业目录为准</x:v>
      </x:c>
      <x:c r="F5" s="100" t="str">
        <x:v>2026-07-24</x:v>
      </x:c>
      <x:c r="G5" s="100" t="str">
        <x:v>2026-07-27 10:00</x:v>
      </x:c>
      <x:c r="H5" s="100" t="str">
        <x:v>2026-08-30 16:00</x:v>
      </x:c>
      <x:c r="I5" s="100" t="str">
        <x:v>报名中</x:v>
      </x:c>
      <x:c r="J5" s="100" t="str">
        <x:v>1. 学院组织专家审核申请材料并遴选复试名单
2. 复试考核安排通过报名系统和学院通知发布
3. 考生需持续关注审核状态和复试通知</x:v>
      </x:c>
      <x:c r="K5" s="100" t="str">
        <x:v>https://www.design.ecnu.edu.cn/blog/6400.html</x:v>
      </x:c>
      <x:c r="L5" s="100" t="str">
        <x:v>https://yjszs-ks.ecnu.edu.cn/logon?zsxm=5</x:v>
      </x:c>
      <x:c r="M5" s="100" t="str">
        <x:v>1. 有效居民身份证
2. 教育部学籍在线验证报告
3. 预报名申请表：报名系统填写后下载打印、签字并扫描上传
4. 诚信承诺书：报名系统下载打印、签字并扫描上传
5. 成绩排名证明或推免排名证明：注明本专业总人数并加盖学校教务部门或学院公章
6. 专业作品集：提供10件作品，其中7件为本科学习期间课堂作业，3件为课外创作（设计）作品；全部内容须为本人原创
7. 其他材料：本科期间成绩单、学术科研成果、获奖证书、外语能力证明等，按系统要求合并上传</x:v>
      </x:c>
      <x:c r="N5" s="100" t="str">
        <x:v>以学院2027目录和复试要求为准</x:v>
      </x:c>
      <x:c r="O5" s="100" t="str">
        <x:v>官网检索文本已核验</x:v>
      </x:c>
      <x:c r="P5" s="100" t="str">
        <x:v>2026-08-02 03:16</x:v>
      </x:c>
      <x:c r="Q5" s="100" t="str">
        <x:v>2026-08-02 03:24</x:v>
      </x:c>
      <x:c r="R5" s="101" t="str">
        <x:v>作品集数量与原创要求已单列</x:v>
      </x:c>
    </x:row>
    <x:row r="6">
      <x:c r="A6" s="99" t="str">
        <x:v>985</x:v>
      </x:c>
      <x:c r="B6" s="100" t="str">
        <x:v>华东师范大学</x:v>
      </x:c>
      <x:c r="C6" s="100" t="str">
        <x:v>传播学院</x:v>
      </x:c>
      <x:c r="D6" s="100" t="str">
        <x:v>华东师范大学传播学院2027年招收推荐免试攻读研究生预报名公告</x:v>
      </x:c>
      <x:c r="E6" s="100" t="str">
        <x:v>1. 050300 新闻传播学
2. 055200 新闻与传播—智能游戏交互方向
3. 055300 出版—教材出版与传播方向
4. 135400 戏剧与影视</x:v>
      </x:c>
      <x:c r="F6" s="100" t="str">
        <x:v>2026-07-24</x:v>
      </x:c>
      <x:c r="G6" s="100" t="str">
        <x:v>2026-07-24 00:00</x:v>
      </x:c>
      <x:c r="H6" s="100" t="str">
        <x:v>2026-09-01 16:00</x:v>
      </x:c>
      <x:c r="I6" s="100" t="str">
        <x:v>报名中</x:v>
      </x:c>
      <x:c r="J6" s="100" t="str">
        <x:v>1. 学院组织专家对申请材料进行审核
2. 根据审核结果遴选复试名单
3. 按学校政策组织复试考核
4. 考生须关注报名系统审核状态及院系复试通知</x:v>
      </x:c>
      <x:c r="K6" s="100" t="str">
        <x:v>https://comm.ecnu.edu.cn/c3/c7/c41511a771015/page.htm</x:v>
      </x:c>
      <x:c r="L6" s="100" t="str">
        <x:v>https://yjszs-ks.ecnu.edu.cn/logon?zsxm=5</x:v>
      </x:c>
      <x:c r="M6" s="100" t="str">
        <x:v>1. 有效居民身份证
2. 教育部学籍在线验证报告
3. 预报名申请表：报名系统填写完毕后下载打印、签字并扫描上传
4. 诚信承诺书：报名系统下载打印、签字并扫描上传
5. 成绩排名证明或推免排名证明：注明本专业总人数并加盖学校教务部门或学院公章
6. 其他材料合并为1个PDF：本科期间成绩单（加盖公章）
7. 其他材料合并为1个PDF：学术科研成果、获奖证书、外语能力证明等能够证明个人学术能力的材料</x:v>
      </x:c>
      <x:c r="N6" s="100" t="str">
        <x:v>智能游戏交互方向欢迎新闻传播、数字媒体艺术、计算机、心理学、戏剧影视文学、工业设计等跨专业背景</x:v>
      </x:c>
      <x:c r="O6" s="100" t="str">
        <x:v>官网全文已核验</x:v>
      </x:c>
      <x:c r="P6" s="100" t="str">
        <x:v>2026-08-02 03:16</x:v>
      </x:c>
      <x:c r="Q6" s="100" t="str">
        <x:v>2026-08-02 03:24</x:v>
      </x:c>
      <x:c r="R6" s="101" t="str">
        <x:v>该方向属于新闻与传播专业，不是设计学学位</x:v>
      </x:c>
    </x:row>
    <x:row r="7">
      <x:c r="A7" s="99" t="str">
        <x:v>985</x:v>
      </x:c>
      <x:c r="B7" s="100" t="str">
        <x:v>厦门大学</x:v>
      </x:c>
      <x:c r="C7" s="100" t="str">
        <x:v>创意与创新学院</x:v>
      </x:c>
      <x:c r="D7" s="100" t="str">
        <x:v>厦门大学创意与创新学院关于2027年接收推荐免试研究生预报名的通知</x:v>
      </x:c>
      <x:c r="E7" s="100" t="str">
        <x:v>1. 健康创新设计
2. 社会创新设计
3. 文化创新设计
4. 智慧创新设计</x:v>
      </x:c>
      <x:c r="F7" s="100" t="str">
        <x:v>2026-07-12</x:v>
      </x:c>
      <x:c r="G7" s="100" t="str">
        <x:v>2026-07-11 00:00</x:v>
      </x:c>
      <x:c r="H7" s="100" t="str">
        <x:v>2026-08-31 23:59</x:v>
      </x:c>
      <x:c r="I7" s="100" t="str">
        <x:v>报名中</x:v>
      </x:c>
      <x:c r="J7" s="100" t="str">
        <x:v>1. 申请人完成系统预报名并上传附件材料
2. 学院对申请材料进行审核并另行通知考核安排
3. 通过学院考核并取得推免资格后，须在教育部推免系统完成正式确认</x:v>
      </x:c>
      <x:c r="K7" s="100" t="str">
        <x:v>https://ici.xmu.edu.cn/info/1331/12195.htm</x:v>
      </x:c>
      <x:c r="L7" s="100" t="str">
        <x:v>https://ssyjsbm.xmu.edu.cn/</x:v>
      </x:c>
      <x:c r="M7" s="100" t="str">
        <x:v>1. 《厦门大学2027年推荐免试攻读研究生（含直博生）申请表》
2. 两位副教授及以上专家的中、英文推荐信
3. 本科阶段中、英文成绩单原件各1份，含学业排名证明并加盖学校教务部门或院系公章
4. 英语水平证明：雅思、托福、全国大学英语四六级等
5. 代表性学术论文、出版物或原创性工作成果等中、英文材料；有科研成果和获奖证书者提供中、英文扫描件
6. 身份证原件扫描件
7. 学生证原件扫描件
8. 报考陈述：含研究兴趣，中英文各1份，各1000字（词）以内，并提交本人签名扫描件
9. 设计作品集：3—5个作业或作品，至少2个独立完成；团队作品须为第一作者并注明合作者及个人完成部分；注明指导教师；中英双语；含封面不超过30页
10. 以上材料按1—9顺序整理为1个PDF，文件不超过15M</x:v>
      </x:c>
      <x:c r="N7" s="100" t="str">
        <x:v>接受设计、艺术、人文社科、工程、计算机等相关背景</x:v>
      </x:c>
      <x:c r="O7" s="100" t="str">
        <x:v>官网全文已核验</x:v>
      </x:c>
      <x:c r="P7" s="100" t="str">
        <x:v>2026-08-02 03:16</x:v>
      </x:c>
      <x:c r="Q7" s="100" t="str">
        <x:v>2026-08-02 03:24</x:v>
      </x:c>
      <x:c r="R7" s="101" t="str">
        <x:v>智慧创新设计与AI、智能交互、VR/游戏、智能产品高度相关</x:v>
      </x:c>
    </x:row>
    <x:row r="8">
      <x:c r="A8" s="99" t="str">
        <x:v>985</x:v>
      </x:c>
      <x:c r="B8" s="100" t="str">
        <x:v>同济大学</x:v>
      </x:c>
      <x:c r="C8" s="100" t="str">
        <x:v>设计创意学院</x:v>
      </x:c>
      <x:c r="D8" s="100" t="str">
        <x:v>同济大学设计创意学院2027年接收推荐免试研究生（含直接攻博）预报名通知</x:v>
      </x:c>
      <x:c r="E8" s="100" t="str">
        <x:v>1. 设计历史与理论
2. 人工智能与数据设计
3. 工业设计
4. 交互设计
5. 媒体与传达设计
6. 环境设计
7. 产品服务体系设计
8. 设计战略、管理与创业</x:v>
      </x:c>
      <x:c r="F8" s="100" t="str">
        <x:v>2026-07-11</x:v>
      </x:c>
      <x:c r="G8" s="100" t="str">
        <x:v>2026-07-11 00:00</x:v>
      </x:c>
      <x:c r="H8" s="100" t="str">
        <x:v>2026-08-17 12:00</x:v>
      </x:c>
      <x:c r="I8" s="100" t="str">
        <x:v>报名中</x:v>
      </x:c>
      <x:c r="J8" s="100" t="str">
        <x:v>1. 学院考核选拔小组对提交材料进行综合评价
2. 根据材料审核结果确定复试考生名单
3. 学院预计于9月组织预推免复试，具体时间及安排另行通知
4. 复试不及格者不予录取</x:v>
      </x:c>
      <x:c r="K8" s="100" t="str">
        <x:v>https://tjdi.tongji.edu.cn/NewsDetail.do?ID=6008&amp;lang=</x:v>
      </x:c>
      <x:c r="L8" s="100" t="str">
        <x:v>https://yzbm.tongji.edu.cn/logon</x:v>
      </x:c>
      <x:c r="M8" s="100" t="str">
        <x:v>1. 针对申请方向的硕士阶段学习计划书；学术型硕士申请者提交研究计划书
2. 作品集或相关成果集：限20页，每个作品标注创作时间、指导教师、个人贡献和作品所属单位
3. 在校成绩单：学校/学院教务部门盖章的原件扫描件，须含总评成绩排名位次/总人数
4. 外语水平证书，如大学英语六级、托福、雅思等
5. 计算机水平证书
6. 专业获奖证书及赛事官网获奖通知；无官网通知时在证书扫描件标明
7. 在专业期刊上发表的学术论文
8. 发表的优秀设计作品
9. 专利证书
10. 其他荣誉和获奖情况证明
11. 申请人有效居民身份证
12. 《教育部学籍在线验证报告》
13. 以上材料按顺序整理为1个中英文PDF，添加目录页，20M以内
14. 直博申请者另须提交两封相关学科副教授及以上专家推荐信
15. 退役大学生士兵专项申请者须上传入伍证明和退出现役证明</x:v>
      </x:c>
      <x:c r="N8" s="100" t="str">
        <x:v>专业不限；明确欢迎计算机、数学、建筑、规划、景观、机械、电子信息、软件、管理、材料、心理、社会学等背景</x:v>
      </x:c>
      <x:c r="O8" s="100" t="str">
        <x:v>官网全文已核验</x:v>
      </x:c>
      <x:c r="P8" s="100" t="str">
        <x:v>2026-08-02 03:16</x:v>
      </x:c>
      <x:c r="Q8" s="100" t="str">
        <x:v>2026-08-02 03:24</x:v>
      </x:c>
      <x:c r="R8" s="101" t="str">
        <x:v>作品集、研究计划和材料命名要求较严格</x:v>
      </x:c>
    </x:row>
    <x:row r="9">
      <x:c r="A9" s="99" t="str">
        <x:v>985</x:v>
      </x:c>
      <x:c r="B9" s="100" t="str">
        <x:v>哈尔滨工业大学</x:v>
      </x:c>
      <x:c r="C9" s="100" t="str">
        <x:v>建筑与设计学院</x:v>
      </x:c>
      <x:c r="D9" s="100" t="str">
        <x:v>哈尔滨工业大学建筑与设计学院2027年接收优秀应届本科毕业生免试攻读研究生报名通知</x:v>
      </x:c>
      <x:c r="E9" s="100" t="str">
        <x:v>1. 建筑学
2. 智慧建筑与建造
3. 城乡规划
4. 风景园林
5. 环境设计
6. 建筑环境与能源应用工程
7. 数字媒体艺术
8. 数字媒体设计
9. 工业设计</x:v>
      </x:c>
      <x:c r="F9" s="100" t="str">
        <x:v>2026-07-22</x:v>
      </x:c>
      <x:c r="G9" s="100" t="str">
        <x:v>2026-07-22 00:00</x:v>
      </x:c>
      <x:c r="H9" s="100" t="str">
        <x:v>2026-09-05 23:59</x:v>
      </x:c>
      <x:c r="I9" s="100" t="str">
        <x:v>报名中</x:v>
      </x:c>
      <x:c r="J9" s="100" t="str">
        <x:v>1. 学院分两批集中审核申请信息
2. 第一批在2026年8月23日前通知，第二批在2026年9月7日前通知
3. 第一批考核在2026年9月5日前完成，第二批在2026年9月15日前完成
4. 考核时间与方式以学院通知为准</x:v>
      </x:c>
      <x:c r="K9" s="100" t="str">
        <x:v>https://arch.hit.edu.cn/2026/0722/c11953a398084/pagem.htm</x:v>
      </x:c>
      <x:c r="L9" s="100" t="str">
        <x:v>https://yzb.hit.edu.cn/</x:v>
      </x:c>
      <x:c r="M9" s="100" t="str">
        <x:v>1. 所在院（系）或学校教务处盖章的成绩单原件
2. 所在院（系）或学校提供的成绩排名证明
3. 体现英语水平的证明材料：国家英语四、六级，TOEFL，GRE/GMAT等
4. 直博申请者：报考导师同意证明（邮件截图即可）及报考学科相关领域教授或相当职称专家推荐信两封
5. 其他证明材料：已发表论文（如有）
6. 其他证明材料：本科期间各类获奖证书复印件
7. 其他证明材料：其他突出表现的证明材料
8. 以上材料扫描件发送至hitarch-zs@qq.com，邮件标题为“预推免申请材料-本科院校-姓名”
9. 面试报到时携带申请材料1—4原件及其他证明材料复印件审核，并提交全部复印件</x:v>
      </x:c>
      <x:c r="N9" s="100" t="str">
        <x:v>毕业专业需为通知列明的建筑、规划、景观、环境设计、数媒、工业设计等相关专业</x:v>
      </x:c>
      <x:c r="O9" s="100" t="str">
        <x:v>官网全文已核验</x:v>
      </x:c>
      <x:c r="P9" s="100" t="str">
        <x:v>2026-08-02 03:16</x:v>
      </x:c>
      <x:c r="Q9" s="100" t="str">
        <x:v>2026-08-02 03:24</x:v>
      </x:c>
      <x:c r="R9" s="101" t="str">
        <x:v>系统关闭时间为9月5日</x:v>
      </x:c>
    </x:row>
    <x:row r="10">
      <x:c r="A10" s="99" t="str">
        <x:v>985</x:v>
      </x:c>
      <x:c r="B10" s="100" t="str">
        <x:v>天津大学</x:v>
      </x:c>
      <x:c r="C10" s="100" t="str">
        <x:v>建筑学院</x:v>
      </x:c>
      <x:c r="D10" s="100" t="str">
        <x:v>天津大学建筑学院2027年接收优秀应届本科毕业生免试攻读研究生预报名的说明</x:v>
      </x:c>
      <x:c r="E10" s="100" t="str">
        <x:v>1. 039902 非物质文化遗产学
2. 081300 建筑学
3. 083300 城乡规划学
4. 085100 建筑
5. 085300 城乡规划
6. 086200 风景园林
7. 135700 设计—环境艺术设计、视觉艺术
8. 140300 设计学—环境艺术设计及其理论、视觉艺术综合研究</x:v>
      </x:c>
      <x:c r="F10" s="100" t="str">
        <x:v>2026-07-10</x:v>
      </x:c>
      <x:c r="G10" s="100" t="str">
        <x:v>2026-07-13 00:00</x:v>
      </x:c>
      <x:c r="H10" s="100" t="str">
        <x:v>2026-09-09 23:59</x:v>
      </x:c>
      <x:c r="I10" s="100" t="str">
        <x:v>报名中</x:v>
      </x:c>
      <x:c r="J10" s="100" t="str">
        <x:v>1. 普通推免分两个批次审核报名信息：8月10日、9月9日
2. 材料审核后适时组织复试考核，额满为止
3. 导师团招生、青年导师专项和普通推免为不同申请途径
4. 导师团由团队依据教育背景、学业水平、科研能力和综合素质进行资格评审并组织面试</x:v>
      </x:c>
      <x:c r="K10" s="100" t="str">
        <x:v>https://arch.tju.edu.cn/info/1218/7491.htm</x:v>
      </x:c>
      <x:c r="L10" s="100" t="str">
        <x:v>https://sszs.tju.edu.cn/10056/user/login/login</x:v>
      </x:c>
      <x:c r="M10" s="100" t="str">
        <x:v>1. 个人简历（带照片），格式不限，A4大小不得超过1页
2. 身份证正反面扫描件
3. 学生证内页或《教育部学籍在线验证报告》
4. 《本科生课程成绩单》扫描件，加盖培养单位教务部门或学院公章
5. 其他证明材料：外语水平、各类奖励材料、发表论文证明等
6. 下载公告附件模板，将材料整合为1个PDF上传，文件不超过15M</x:v>
      </x:c>
      <x:c r="N10" s="100" t="str">
        <x:v>不同专业与专项资格要求不同；导师团和青年导师专项对本科院校有额外要求</x:v>
      </x:c>
      <x:c r="O10" s="100" t="str">
        <x:v>官网全文已核验</x:v>
      </x:c>
      <x:c r="P10" s="100" t="str">
        <x:v>2026-08-02 03:16</x:v>
      </x:c>
      <x:c r="Q10" s="100" t="str">
        <x:v>2026-08-02 03:24</x:v>
      </x:c>
      <x:c r="R10" s="101" t="str">
        <x:v>普通推免最晚建议9月9日前提交</x:v>
      </x:c>
    </x:row>
    <x:row r="11">
      <x:c r="A11" s="99" t="str">
        <x:v>985</x:v>
      </x:c>
      <x:c r="B11" s="100" t="str">
        <x:v>清华大学</x:v>
      </x:c>
      <x:c r="C11" s="100" t="str">
        <x:v>深圳国际研究生院</x:v>
      </x:c>
      <x:c r="D11" s="100" t="str">
        <x:v>清华大学深圳国际研究生院2027年接收优秀应届本科毕业生免试攻读研究生报名通知</x:v>
      </x:c>
      <x:c r="E11" s="100" t="str">
        <x:v>1. 085100 建筑—未来人居设计
2. 085300 城乡规划—未来人居项目
3. 085400 电子信息—互动媒体设计与技术
4. 085400 电子信息—互联网+创新设计</x:v>
      </x:c>
      <x:c r="F11" s="100" t="str">
        <x:v>2026-06-30</x:v>
      </x:c>
      <x:c r="G11" s="100" t="str">
        <x:v>2026-07-01 10:00</x:v>
      </x:c>
      <x:c r="H11" s="100" t="str">
        <x:v>2026-07-28 15:00</x:v>
      </x:c>
      <x:c r="I11" s="100" t="str">
        <x:v>已截止</x:v>
      </x:c>
      <x:c r="J11" s="100" t="str">
        <x:v>1. 网上报名并提交电子材料
2. 院系对申请材料进行审核并组织复试
3. 通过复试并同意接收者在系统查询初步录取结果
4. 录取当年6月进行资格复审</x:v>
      </x:c>
      <x:c r="K11" s="100" t="str">
        <x:v>https://www.sigs.tsinghua.edu.cn/2026/0630/c7769a291820/page.htm</x:v>
      </x:c>
      <x:c r="L11" s="100" t="str">
        <x:v>https://yzbm.tsinghua.edu.cn</x:v>
      </x:c>
      <x:c r="M11" s="100" t="str">
        <x:v>1. 有效身份证明（二代居民身份证）
2. 在学证明（学生证）
3. 本人自述
4. 外语水平证明
5. 专家推荐信2封：在线邀请两位与申请学科相关的副教授（含）以上职称专家填写并上传
6. 本科学业成绩单（含学业排名证明）
7. 学科/项目要求提交的其他附加申请材料及其证明
8. 本校应届本科毕业生不需提供在学证明、专家推荐信和成绩单</x:v>
      </x:c>
      <x:c r="N11" s="100" t="str">
        <x:v>多个设计、建筑、电子信息交叉项目；具体背景要求以项目说明为准</x:v>
      </x:c>
      <x:c r="O11" s="100" t="str">
        <x:v>官网全文已核验</x:v>
      </x:c>
      <x:c r="P11" s="100" t="str">
        <x:v>2026-08-02 03:16</x:v>
      </x:c>
      <x:c r="Q11" s="100" t="str">
        <x:v>2026-08-02 03:24</x:v>
      </x:c>
      <x:c r="R11" s="101" t="str">
        <x:v>已截止</x:v>
      </x:c>
    </x:row>
    <x:row r="12">
      <x:c r="A12" s="99" t="str">
        <x:v>985</x:v>
      </x:c>
      <x:c r="B12" s="100" t="str">
        <x:v>清华大学</x:v>
      </x:c>
      <x:c r="C12" s="100" t="str">
        <x:v>美术学院</x:v>
      </x:c>
      <x:c r="D12" s="100" t="str">
        <x:v>清华大学美术学院2027年接收外校优秀应届本科毕业生推荐免试攻读研究生相关要求</x:v>
      </x:c>
      <x:c r="E12" s="100" t="str">
        <x:v>1. 130100 艺术学
2. 140300 设计学
3. 135700 设计
4. 135600 美术与书法
5. 1403J1 信息艺术设计交叉学科</x:v>
      </x:c>
      <x:c r="F12" s="100" t="str">
        <x:v>2026-07-02</x:v>
      </x:c>
      <x:c r="G12" s="100" t="str">
        <x:v>2026-07-01 10:00</x:v>
      </x:c>
      <x:c r="H12" s="100" t="str">
        <x:v>2026-07-28 15:00</x:v>
      </x:c>
      <x:c r="I12" s="100" t="str">
        <x:v>已截止</x:v>
      </x:c>
      <x:c r="J12" s="100" t="str">
        <x:v>1. 申请材料形式审查
2. 进入复试后参加综合考核；具体考核办法另行发布
3. 硕士申请人提前准备5分钟个人陈述PPT
4. 博士申请人提前准备10分钟个人陈述PPT</x:v>
      </x:c>
      <x:c r="K12" s="100" t="str">
        <x:v>https://www.ad.tsinghua.edu.cn/__local/C/64/63/04E2EC726830D5C80FE85AD768F_8CA56269_1A263.pdf</x:v>
      </x:c>
      <x:c r="L12" s="100" t="str">
        <x:v>https://yzbm.tsinghua.edu.cn</x:v>
      </x:c>
      <x:c r="M12" s="100" t="str">
        <x:v>1. 有效身份证明
2. 在学证明
3. 本人自述及研究计划
4. 外语水平证明
5. 清华大学研究生招生考生诚信承诺书
6. 《申请攻读推荐免试硕士学位研究生报名登记表》
7. 两封与报考专业相关的副教授（或相当职称）及以上专家推荐信
8. 本科学业成绩单及排名证明（须加盖学校教务处或本科生院公章）
9. 申请140300设计学、135700设计及135600美术与书法：个人电子版作品集，20幅左右，A4，100M以内
10. 申请1403J1信息艺术设计交叉学科：艺术类背景须上传作品集；非艺术类背景可自愿提交作品集，不提交时上传本人签名说明
11. 其他可证明科研水平和能力的材料；建议提交获奖证书、高质量学术论文、出版物或具有学术水平的工作成果证明</x:v>
      </x:c>
      <x:c r="N12" s="100" t="str">
        <x:v>信息艺术设计交叉学科接受非艺术类背景申请；排名条件按通知执行</x:v>
      </x:c>
      <x:c r="O12" s="100" t="str">
        <x:v>官网全文已核验</x:v>
      </x:c>
      <x:c r="P12" s="100" t="str">
        <x:v>2026-08-02 03:16</x:v>
      </x:c>
      <x:c r="Q12" s="100" t="str">
        <x:v>2026-08-02 03:24</x:v>
      </x:c>
      <x:c r="R12" s="101" t="str">
        <x:v>已截止；材料清单按硕士推免部分整理</x:v>
      </x:c>
    </x:row>
    <x:row r="13">
      <x:c r="A13" s="99" t="str">
        <x:v>211</x:v>
      </x:c>
      <x:c r="B13" s="100" t="str">
        <x:v>北京邮电大学</x:v>
      </x:c>
      <x:c r="C13" s="100" t="str">
        <x:v>数字媒体与设计艺术学院</x:v>
      </x:c>
      <x:c r="D13" s="100" t="str">
        <x:v>北京邮电大学2027年接收优秀应届本科毕业生免试攻读研究生工作办法</x:v>
      </x:c>
      <x:c r="E13" s="100" t="str">
        <x:v>1. 140300 设计学—信息交互设计、智能产品设计、数字媒体内容设计
2. 135700 设计
3. 0810Z1 数字媒体技术
4. 新闻传播学、新闻与传播等相关方向以2027目录为准</x:v>
      </x:c>
      <x:c r="F13" s="100" t="str">
        <x:v>2026-07-21</x:v>
      </x:c>
      <x:c r="G13" s="100" t="str"/>
      <x:c r="H13" s="100" t="str"/>
      <x:c r="I13" s="100" t="str">
        <x:v>截止时间待核验</x:v>
      </x:c>
      <x:c r="J13" s="100" t="str">
        <x:v>1. 学院对报名材料进行综合评审，按材料审核成绩择优确定面试名单
2. 每名考生面试时间一般不少于20分钟，随机确定次序并随机抽题，全程录音录像
3. 思想政治素质和品德考核
4. 专业面试：考查外语听说、专业知识；学硕侧重学术素养和科研创新，专硕侧重专业基础、实践能力和职业素养
5. 网上心理测试；未参加者不予录取
6. 数字媒体与设计艺术学院2027实施细则及截止时间待发布</x:v>
      </x:c>
      <x:c r="K13" s="100" t="str">
        <x:v>https://yzb.bupt.edu.cn/info/1011/1460.htm</x:v>
      </x:c>
      <x:c r="L13" s="100" t="str">
        <x:v>https://yzfs.bupt.edu.cn/MasterTm/Signin.aspx</x:v>
      </x:c>
      <x:c r="M13" s="100" t="str">
        <x:v>1. 《北京邮电大学2027年接收推荐免试攻读硕士学位研究生申请表》或直博申请表
2. 大学英语四/六级考试成绩单扫描件
3. 大学期间成绩单扫描件，加盖本科学校教务部门公章
4. 有效居民身份证正反面扫描件
5. 各类获奖证书扫描件
6. 学院要求提交的其他材料；数字媒体与设计艺术学院实施细则发布后由爬虫补充
7. 直博拟录取者另须按规定提交博士登记表和两名副高职及以上专家推荐书</x:v>
      </x:c>
      <x:c r="N13" s="100" t="str">
        <x:v>本科专业原则上与报考专业相同或相近；学院可规定附加条件</x:v>
      </x:c>
      <x:c r="O13" s="100" t="str">
        <x:v>校级官网办法已核验；学院细则待发布</x:v>
      </x:c>
      <x:c r="P13" s="100" t="str">
        <x:v>2026-08-02 03:16</x:v>
      </x:c>
      <x:c r="Q13" s="100" t="str">
        <x:v>2026-08-02 03:24</x:v>
      </x:c>
      <x:c r="R13" s="101" t="str">
        <x:v>211非985；倒计时待学院公布截止时间</x:v>
      </x:c>
    </x:row>
    <x:row r="14">
      <x:c r="A14" s="99" t="str">
        <x:v>211</x:v>
      </x:c>
      <x:c r="B14" s="100" t="str">
        <x:v>华东理工大学</x:v>
      </x:c>
      <x:c r="C14" s="100" t="str">
        <x:v>艺术设计与传媒学院</x:v>
      </x:c>
      <x:c r="D14" s="100" t="str">
        <x:v>华东理工大学2027年接收外校推荐免试研究生（含直博生）预报名通知</x:v>
      </x:c>
      <x:c r="E14" s="100" t="str">
        <x:v>1. 艺术设计与传媒学院可报专业以2027年推免生招生目录及学院后续要求为准
2. 学院联系人：彭老师；电话021-64253214；邮箱juehan@163.com</x:v>
      </x:c>
      <x:c r="F14" s="100" t="str">
        <x:v>2026-07-20</x:v>
      </x:c>
      <x:c r="G14" s="100" t="str">
        <x:v>2026-07-21 00:00</x:v>
      </x:c>
      <x:c r="H14" s="100" t="str">
        <x:v>2026-09-13 23:59</x:v>
      </x:c>
      <x:c r="I14" s="100" t="str">
        <x:v>报名中</x:v>
      </x:c>
      <x:c r="J14" s="100" t="str">
        <x:v>1. 预报名用于学院和导师提前了解考生的学科背景、学术水平及综合表现
2. 学校突出能力考查，注重一贯表现、科研创新潜质和专业能力倾向
3. 入围面试后按学院要求提供材料并参加考核
4. 具体面试办法由艺术设计与传媒学院另行发布</x:v>
      </x:c>
      <x:c r="K14" s="100" t="str">
        <x:v>https://gschool.ecust.edu.cn/2026/0720/c12754a192317/page.htm</x:v>
      </x:c>
      <x:c r="L14" s="100" t="str">
        <x:v>https://yz.ecust.edu.cn/</x:v>
      </x:c>
      <x:c r="M14" s="100" t="str">
        <x:v>1. 预报名阶段在线填写信息，学校不要求寄送纸质材料
2. 入围推免面试后，根据艺术设计与传媒学院具体要求提供相关材料
3. 学院细则发布后，爬虫将补充成绩单、外语、作品集、科研成果和其他材料的具体格式</x:v>
      </x:c>
      <x:c r="N14" s="100" t="str">
        <x:v>以2027推免目录和学院要求为准</x:v>
      </x:c>
      <x:c r="O14" s="100" t="str">
        <x:v>校级官网全文已核验；学院材料细则待发布</x:v>
      </x:c>
      <x:c r="P14" s="100" t="str">
        <x:v>2026-08-02 03:16</x:v>
      </x:c>
      <x:c r="Q14" s="100" t="str">
        <x:v>2026-08-02 03:24</x:v>
      </x:c>
      <x:c r="R14" s="101" t="str">
        <x:v>211非985；当前不能编造学院材料清单</x:v>
      </x:c>
    </x:row>
    <x:row r="15">
      <x:c r="A15" s="102" t="str">
        <x:v>211</x:v>
      </x:c>
      <x:c r="B15" s="103" t="str">
        <x:v>南京航空航天大学</x:v>
      </x:c>
      <x:c r="C15" s="103" t="str">
        <x:v>艺术学院/相关设计培养单位</x:v>
      </x:c>
      <x:c r="D15" s="103" t="str">
        <x:v>南京航空航天大学2027年接收推荐免试研究生预报名通知</x:v>
      </x:c>
      <x:c r="E15" s="103" t="str">
        <x:v>1. 设计学、设计及相关方向以2027推免专业目录和艺术学院通知为准
2. 院级报名截止时间可能早于学校系统截止时间</x:v>
      </x:c>
      <x:c r="F15" s="103" t="str">
        <x:v>2026-07-15</x:v>
      </x:c>
      <x:c r="G15" s="103" t="str">
        <x:v>2026-07-15 00:00</x:v>
      </x:c>
      <x:c r="H15" s="103" t="str">
        <x:v>2026-09-15 23:59</x:v>
      </x:c>
      <x:c r="I15" s="103" t="str">
        <x:v>报名中</x:v>
      </x:c>
      <x:c r="J15" s="103" t="str">
        <x:v>1. 各学院审核申请材料并择优确定综合考核入围名单
2. 未入围综合考核者不再单独通知
3. 综合考核以综合面试为主
4. 学校根据综合考核成绩择优录取
5. 学院具体时间、要求和安排另行通知</x:v>
      </x:c>
      <x:c r="K15" s="103" t="str">
        <x:v>https://www.graduate.nuaa.edu.cn/2026/0715/c13502a405484/page.htm</x:v>
      </x:c>
      <x:c r="L15" s="103" t="str">
        <x:v>http://yzsbm.nuaa.edu.cn/logon</x:v>
      </x:c>
      <x:c r="M15" s="103" t="str">
        <x:v>1. 所在学校院系教务部门加盖公章的本科学习成绩单，成绩单须反映排名情况
2. 大学英语四级或六级考试成绩单，以及其他能反映英语水平的材料
3. 学术成果：公开发表论文、出版著作、获得专利、获得学术科技奖项、承担课题或其他具有学术水平的成果
4. 各类荣誉、表彰、奖励证书
5. 报考学院要求的其他材料
6. 全部电子材料按编号顺序合并为1个PDF，在报考院系规定时间内通过系统上传</x:v>
      </x:c>
      <x:c r="N15" s="103" t="str">
        <x:v>暂未确定是否可获得推免资格的学生可先报名；专业条件以学院为准</x:v>
      </x:c>
      <x:c r="O15" s="103" t="str">
        <x:v>校级官网全文已核验；学院细则待更新</x:v>
      </x:c>
      <x:c r="P15" s="103" t="str">
        <x:v>2026-08-02 03:16</x:v>
      </x:c>
      <x:c r="Q15" s="103" t="str">
        <x:v>2026-08-02 03:24</x:v>
      </x:c>
      <x:c r="R15" s="104" t="str">
        <x:v>211非985</x:v>
      </x:c>
    </x:row>
  </x:sheetData>
  <x:pageMargins left="0.7" right="0.7" top="0.75" bottom="0.75" header="0.3" footer="0.3"/>
  <x:tableParts count="1">
    <x:tablePart xmlns:r="http://schemas.openxmlformats.org/officeDocument/2006/relationships" r:id="Rdc517a7fcbb4409c"/>
  </x:tableParts>
</x:worksheet>
</file>

<file path=xl/worksheets/sheet4.xml><?xml version="1.0" encoding="utf-8"?>
<x:worksheet xmlns:x="http://schemas.openxmlformats.org/spreadsheetml/2006/main">
  <x:sheetFormatPr defaultRowHeight="15"/>
  <x:cols>
    <x:col min="1" max="1" width="22" hidden="0" customWidth="1"/>
    <x:col min="2" max="2" width="92" hidden="0" customWidth="1"/>
  </x:cols>
  <x:sheetData>
    <x:row r="1">
      <x:c r="A1" s="5" t="str">
        <x:v>预推免监测表：数据与交互逻辑说明</x:v>
      </x:c>
      <x:c r="B1" s="5"/>
      <x:c r="C1" s="5"/>
      <x:c r="D1" s="5"/>
      <x:c r="E1" s="5"/>
      <x:c r="F1" s="5"/>
      <x:c r="G1" s="5"/>
      <x:c r="H1" s="5"/>
    </x:row>
    <x:row r="3">
      <x:c r="A3" s="474" t="str">
        <x:v>项目</x:v>
      </x:c>
      <x:c r="B3" s="475" t="str">
        <x:v>说明</x:v>
      </x:c>
    </x:row>
    <x:row r="4" ht="48" customHeight="1">
      <x:c r="A4" s="96" t="str">
        <x:v>数据来源</x:v>
      </x:c>
      <x:c r="B4" s="98" t="str">
        <x:v>985院校、211院校两个展示表均由“爬虫数据源”生成，不是单独手工绘制的图片。</x:v>
      </x:c>
    </x:row>
    <x:row r="5" ht="48" customHeight="1">
      <x:c r="A5" s="99" t="str">
        <x:v>学校归组</x:v>
      </x:c>
      <x:c r="B5" s="101" t="str">
        <x:v>同一学校的不同学院连续排列；院校等级和学校名称纵向合并，降低重复阅读。</x:v>
      </x:c>
    </x:row>
    <x:row r="6" ht="48" customHeight="1">
      <x:c r="A6" s="99" t="str">
        <x:v>边界层级</x:v>
      </x:c>
      <x:c r="B6" s="101" t="str">
        <x:v>同一学校内部使用细灰线；学校切换处使用粗灰线，帮助快速扫读。</x:v>
      </x:c>
    </x:row>
    <x:row r="7" ht="48" customHeight="1">
      <x:c r="A7" s="99" t="str">
        <x:v>条目表达</x:v>
      </x:c>
      <x:c r="B7" s="101" t="str">
        <x:v>专业方向、考核方式、申请材料均保留为1、2、3……编号清单，避免长段落难以核对。</x:v>
      </x:c>
    </x:row>
    <x:row r="8" ht="48" customHeight="1">
      <x:c r="A8" s="99" t="str">
        <x:v>倒计时</x:v>
      </x:c>
      <x:c r="B8" s="101" t="str">
        <x:v>根据每条通知的报名截止时间与NOW()动态计算，使用大红色加粗显示。</x:v>
      </x:c>
    </x:row>
    <x:row r="9" ht="48" customHeight="1">
      <x:c r="A9" s="99" t="str">
        <x:v>排序</x:v>
      </x:c>
      <x:c r="B9" s="101" t="str">
        <x:v>先展示仍可报名且截止较近的学校；同校所有学院保持在同一组内；已截止和截止待核验信息置后。</x:v>
      </x:c>
    </x:row>
    <x:row r="10" ht="48" customHeight="1">
      <x:c r="A10" s="99" t="str">
        <x:v>自动更新</x:v>
      </x:c>
      <x:c r="B10" s="101" t="str">
        <x:v>crawler.py每次运行后更新data/notices.csv、notices.json和网页表；本Excel是本轮爬虫输出的结构化快照。</x:v>
      </x:c>
    </x:row>
    <x:row r="11" ht="48" customHeight="1">
      <x:c r="A11" s="102" t="str">
        <x:v>人工核验</x:v>
      </x:c>
      <x:c r="B11" s="104" t="str">
        <x:v>自动抓取的新通知可能存在版式差异。标记“待人工核验”的条目，申请前须打开官方公告复核。</x:v>
      </x:c>
    </x:row>
  </x:sheetData>
  <x:mergeCells>
    <x:mergeCell ref="A1:H1"/>
  </x:mergeCells>
  <x:pageMargins left="0.7" right="0.7" top="0.75" bottom="0.75" header="0.3" footer="0.3"/>
</x:worksheet>
</file>